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amp; Tổng quan" sheetId="1" state="visible" r:id="rId1"/>
    <sheet xmlns:r="http://schemas.openxmlformats.org/officeDocument/2006/relationships" name="Mô tả các cột" sheetId="2" state="visible" r:id="rId2"/>
    <sheet xmlns:r="http://schemas.openxmlformats.org/officeDocument/2006/relationships" name="1. Account &amp; Auth" sheetId="3" state="visible" r:id="rId3"/>
    <sheet xmlns:r="http://schemas.openxmlformats.org/officeDocument/2006/relationships" name="2. Driver &amp; Vehicle" sheetId="4" state="visible" r:id="rId4"/>
    <sheet xmlns:r="http://schemas.openxmlformats.org/officeDocument/2006/relationships" name="3. Ride Booking" sheetId="5" state="visible" r:id="rId5"/>
    <sheet xmlns:r="http://schemas.openxmlformats.org/officeDocument/2006/relationships" name="4. Driver Matching" sheetId="6" state="visible" r:id="rId6"/>
    <sheet xmlns:r="http://schemas.openxmlformats.org/officeDocument/2006/relationships" name="5. Trip Management" sheetId="7" state="visible" r:id="rId7"/>
    <sheet xmlns:r="http://schemas.openxmlformats.org/officeDocument/2006/relationships" name="6. Fare &amp; Payment" sheetId="8" state="visible" r:id="rId8"/>
    <sheet xmlns:r="http://schemas.openxmlformats.org/officeDocument/2006/relationships" name="7. Operations &amp; Security" sheetId="9" state="visible" r:id="rId9"/>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1F4E78"/>
      <sz val="15"/>
    </font>
    <font>
      <name val="Calibri"/>
      <i val="1"/>
      <color rgb="00555555"/>
      <sz val="10"/>
    </font>
    <font>
      <name val="Calibri"/>
      <b val="1"/>
      <color rgb="00FFFFFF"/>
      <sz val="10"/>
    </font>
    <font>
      <name val="Calibri"/>
      <color rgb="0024292F"/>
      <sz val="10"/>
    </font>
    <font>
      <name val="Calibri"/>
      <b val="1"/>
      <color rgb="0024292F"/>
      <sz val="10"/>
    </font>
    <font>
      <name val="Consolas"/>
      <b val="1"/>
      <color rgb="001F4E78"/>
      <sz val="9"/>
    </font>
    <font>
      <name val="Calibri"/>
      <b val="1"/>
      <color rgb="009C0006"/>
      <sz val="9"/>
    </font>
    <font>
      <name val="Calibri"/>
      <b val="1"/>
      <color rgb="009C6500"/>
      <sz val="9"/>
    </font>
    <font>
      <name val="Calibri"/>
      <b val="1"/>
      <color rgb="00006100"/>
      <sz val="9"/>
    </font>
    <font>
      <name val="Calibri"/>
      <b val="1"/>
      <color rgb="001F4E78"/>
      <sz val="18"/>
    </font>
    <font>
      <name val="Calibri"/>
      <b val="1"/>
      <color rgb="00333333"/>
      <sz val="11"/>
    </font>
    <font>
      <name val="Calibri"/>
      <b val="1"/>
      <color rgb="001F4E78"/>
      <sz val="10"/>
    </font>
    <font>
      <name val="Calibri"/>
      <color rgb="00222222"/>
      <sz val="10"/>
    </font>
    <font>
      <name val="Calibri"/>
      <b val="1"/>
      <color rgb="001F4E78"/>
      <sz val="12"/>
    </font>
    <font>
      <name val="Segoe UI"/>
      <b val="1"/>
      <color rgb="00003366"/>
      <sz val="10"/>
    </font>
    <font>
      <name val="Calibri"/>
      <b val="1"/>
      <color rgb="000D233A"/>
      <sz val="11"/>
    </font>
    <font>
      <name val="Calibri"/>
      <b val="1"/>
      <color rgb="009C0006"/>
      <sz val="11"/>
    </font>
    <font>
      <name val="Calibri"/>
      <b val="1"/>
      <color rgb="009C6500"/>
      <sz val="11"/>
    </font>
    <font>
      <name val="Calibri"/>
      <b val="1"/>
      <color rgb="00006100"/>
      <sz val="11"/>
    </font>
    <font>
      <name val="Calibri"/>
      <b val="1"/>
      <i val="1"/>
      <color rgb="000D233A"/>
      <sz val="10"/>
    </font>
    <font>
      <name val="Calibri"/>
      <b val="1"/>
      <color rgb="001F4E78"/>
      <sz val="11"/>
    </font>
    <font>
      <name val="Calibri"/>
      <b val="1"/>
      <color rgb="00333333"/>
      <sz val="10"/>
    </font>
  </fonts>
  <fills count="10">
    <fill>
      <patternFill/>
    </fill>
    <fill>
      <patternFill patternType="gray125"/>
    </fill>
    <fill>
      <patternFill patternType="solid">
        <fgColor rgb="001F4E78"/>
        <bgColor rgb="001F4E78"/>
      </patternFill>
    </fill>
    <fill>
      <patternFill patternType="solid">
        <fgColor rgb="00F7F9FC"/>
        <bgColor rgb="00F7F9FC"/>
      </patternFill>
    </fill>
    <fill>
      <patternFill patternType="solid">
        <fgColor rgb="00FFFFFF"/>
        <bgColor rgb="00FFFFFF"/>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F2F5F9"/>
        <bgColor rgb="00F2F5F9"/>
      </patternFill>
    </fill>
    <fill>
      <patternFill patternType="solid">
        <fgColor rgb="00D9E1F2"/>
        <bgColor rgb="00D9E1F2"/>
      </patternFill>
    </fill>
  </fills>
  <borders count="9">
    <border>
      <left/>
      <right/>
      <top/>
      <bottom/>
      <diagonal/>
    </border>
    <border>
      <left style="thin">
        <color rgb="00D0D7DE"/>
      </left>
      <right style="thin">
        <color rgb="00D0D7DE"/>
      </right>
      <top style="thin">
        <color rgb="00D0D7DE"/>
      </top>
      <bottom style="medium">
        <color rgb="000D233A"/>
      </bottom>
    </border>
    <border>
      <left style="thin">
        <color rgb="00D0D7DE"/>
      </left>
      <right style="thin">
        <color rgb="00D0D7DE"/>
      </right>
      <top style="thin">
        <color rgb="00D0D7DE"/>
      </top>
      <bottom style="thin">
        <color rgb="00D0D7DE"/>
      </bottom>
    </border>
    <border>
      <left/>
      <right/>
      <top style="thin">
        <color rgb="00D0D7DE"/>
      </top>
      <bottom/>
      <diagonal/>
    </border>
    <border>
      <left/>
      <right style="thin">
        <color rgb="00D0D7DE"/>
      </right>
      <top style="thin">
        <color rgb="00D0D7DE"/>
      </top>
      <bottom/>
      <diagonal/>
    </border>
    <border>
      <left/>
      <right/>
      <top style="thin">
        <color rgb="00D0D7DE"/>
      </top>
      <bottom style="thin">
        <color rgb="00D0D7DE"/>
      </bottom>
      <diagonal/>
    </border>
    <border>
      <left/>
      <right style="thin">
        <color rgb="00D0D7DE"/>
      </right>
      <top style="thin">
        <color rgb="00D0D7DE"/>
      </top>
      <bottom style="thin">
        <color rgb="00D0D7DE"/>
      </bottom>
      <diagonal/>
    </border>
    <border>
      <left/>
      <right/>
      <top style="thin">
        <color rgb="00D0D7DE"/>
      </top>
      <bottom style="medium">
        <color rgb="000D233A"/>
      </bottom>
      <diagonal/>
    </border>
    <border>
      <left/>
      <right style="thin">
        <color rgb="00D0D7DE"/>
      </right>
      <top style="thin">
        <color rgb="00D0D7DE"/>
      </top>
      <bottom style="medium">
        <color rgb="000D233A"/>
      </bottom>
      <diagonal/>
    </border>
  </borders>
  <cellStyleXfs count="1">
    <xf numFmtId="0" fontId="0" fillId="0" borderId="0"/>
  </cellStyleXfs>
  <cellXfs count="46">
    <xf numFmtId="0" fontId="0" fillId="0" borderId="0" pivotButton="0" quotePrefix="0" xfId="0"/>
    <xf numFmtId="0" fontId="10" fillId="0" borderId="0" pivotButton="0" quotePrefix="0" xfId="0"/>
    <xf numFmtId="0" fontId="11" fillId="0" borderId="0" pivotButton="0" quotePrefix="0" xfId="0"/>
    <xf numFmtId="0" fontId="2" fillId="0" borderId="0" pivotButton="0" quotePrefix="0" xfId="0"/>
    <xf numFmtId="0" fontId="12" fillId="8" borderId="2" pivotButton="0" quotePrefix="0" xfId="0"/>
    <xf numFmtId="0" fontId="13" fillId="8" borderId="2" pivotButton="0" quotePrefix="0" xfId="0"/>
    <xf numFmtId="0" fontId="0" fillId="8" borderId="2" pivotButton="0" quotePrefix="0" xfId="0"/>
    <xf numFmtId="0" fontId="14" fillId="0" borderId="0" pivotButton="0" quotePrefix="0" xfId="0"/>
    <xf numFmtId="0" fontId="3" fillId="2" borderId="1" applyAlignment="1" pivotButton="0" quotePrefix="0" xfId="0">
      <alignment horizontal="center" vertical="center" wrapText="1"/>
    </xf>
    <xf numFmtId="0" fontId="4" fillId="4" borderId="2" applyAlignment="1" pivotButton="0" quotePrefix="0" xfId="0">
      <alignment horizontal="center" vertical="center" wrapText="1"/>
    </xf>
    <xf numFmtId="0" fontId="5" fillId="4" borderId="2" applyAlignment="1" pivotButton="0" quotePrefix="0" xfId="0">
      <alignment horizontal="left" vertical="center"/>
    </xf>
    <xf numFmtId="0" fontId="15" fillId="4" borderId="2" applyAlignment="1" pivotButton="0" quotePrefix="0" xfId="0">
      <alignment horizontal="left" vertical="center"/>
    </xf>
    <xf numFmtId="0" fontId="12" fillId="4" borderId="2" applyAlignment="1" pivotButton="0" quotePrefix="0" xfId="0">
      <alignment horizontal="center" vertical="center" wrapText="1"/>
    </xf>
    <xf numFmtId="0" fontId="7" fillId="4" borderId="2" applyAlignment="1" pivotButton="0" quotePrefix="0" xfId="0">
      <alignment horizontal="center" vertical="center" wrapText="1"/>
    </xf>
    <xf numFmtId="0" fontId="8" fillId="4" borderId="2" applyAlignment="1" pivotButton="0" quotePrefix="0" xfId="0">
      <alignment horizontal="center" vertical="center" wrapText="1"/>
    </xf>
    <xf numFmtId="0" fontId="9" fillId="4" borderId="2" applyAlignment="1" pivotButton="0" quotePrefix="0" xfId="0">
      <alignment horizontal="center" vertical="center" wrapText="1"/>
    </xf>
    <xf numFmtId="0" fontId="4" fillId="4" borderId="2" applyAlignment="1" pivotButton="0" quotePrefix="0" xfId="0">
      <alignment horizontal="left" vertical="center"/>
    </xf>
    <xf numFmtId="0" fontId="4" fillId="3" borderId="2" applyAlignment="1" pivotButton="0" quotePrefix="0" xfId="0">
      <alignment horizontal="center" vertical="center" wrapText="1"/>
    </xf>
    <xf numFmtId="0" fontId="5" fillId="3" borderId="2" applyAlignment="1" pivotButton="0" quotePrefix="0" xfId="0">
      <alignment horizontal="left" vertical="center"/>
    </xf>
    <xf numFmtId="0" fontId="15" fillId="3" borderId="2" applyAlignment="1" pivotButton="0" quotePrefix="0" xfId="0">
      <alignment horizontal="left" vertical="center"/>
    </xf>
    <xf numFmtId="0" fontId="12" fillId="3" borderId="2" applyAlignment="1" pivotButton="0" quotePrefix="0" xfId="0">
      <alignment horizontal="center" vertical="center" wrapText="1"/>
    </xf>
    <xf numFmtId="0" fontId="7" fillId="3" borderId="2" applyAlignment="1" pivotButton="0" quotePrefix="0" xfId="0">
      <alignment horizontal="center" vertical="center" wrapText="1"/>
    </xf>
    <xf numFmtId="0" fontId="8" fillId="3" borderId="2" applyAlignment="1" pivotButton="0" quotePrefix="0" xfId="0">
      <alignment horizontal="center" vertical="center" wrapText="1"/>
    </xf>
    <xf numFmtId="0" fontId="9" fillId="3" borderId="2" applyAlignment="1" pivotButton="0" quotePrefix="0" xfId="0">
      <alignment horizontal="center" vertical="center" wrapText="1"/>
    </xf>
    <xf numFmtId="0" fontId="4" fillId="3" borderId="2" applyAlignment="1" pivotButton="0" quotePrefix="0" xfId="0">
      <alignment horizontal="left" vertical="center"/>
    </xf>
    <xf numFmtId="0" fontId="16" fillId="9" borderId="1" applyAlignment="1" pivotButton="0" quotePrefix="0" xfId="0">
      <alignment horizontal="center" vertical="center" wrapText="1"/>
    </xf>
    <xf numFmtId="0" fontId="0" fillId="9" borderId="1" pivotButton="0" quotePrefix="0" xfId="0"/>
    <xf numFmtId="0" fontId="17" fillId="9" borderId="1" applyAlignment="1" pivotButton="0" quotePrefix="0" xfId="0">
      <alignment horizontal="center" vertical="center" wrapText="1"/>
    </xf>
    <xf numFmtId="0" fontId="18" fillId="9" borderId="1" applyAlignment="1" pivotButton="0" quotePrefix="0" xfId="0">
      <alignment horizontal="center" vertical="center" wrapText="1"/>
    </xf>
    <xf numFmtId="0" fontId="19" fillId="9" borderId="1" applyAlignment="1" pivotButton="0" quotePrefix="0" xfId="0">
      <alignment horizontal="center" vertical="center" wrapText="1"/>
    </xf>
    <xf numFmtId="0" fontId="20" fillId="9" borderId="1" applyAlignment="1" pivotButton="0" quotePrefix="0" xfId="0">
      <alignment horizontal="center" vertical="center" wrapText="1"/>
    </xf>
    <xf numFmtId="0" fontId="21" fillId="0" borderId="0" pivotButton="0" quotePrefix="0" xfId="0"/>
    <xf numFmtId="0" fontId="22" fillId="3" borderId="2" pivotButton="0" quotePrefix="0" xfId="0"/>
    <xf numFmtId="0" fontId="0" fillId="3" borderId="2" pivotButton="0" quotePrefix="0" xfId="0"/>
    <xf numFmtId="0" fontId="4" fillId="4" borderId="2" pivotButton="0" quotePrefix="0" xfId="0"/>
    <xf numFmtId="0" fontId="0" fillId="4" borderId="2" pivotButton="0" quotePrefix="0" xfId="0"/>
    <xf numFmtId="0" fontId="1" fillId="0" borderId="0" pivotButton="0" quotePrefix="0" xfId="0"/>
    <xf numFmtId="0" fontId="5" fillId="3" borderId="2" applyAlignment="1" pivotButton="0" quotePrefix="0" xfId="0">
      <alignment horizontal="center" vertical="top" wrapText="1"/>
    </xf>
    <xf numFmtId="0" fontId="4" fillId="3" borderId="2" applyAlignment="1" pivotButton="0" quotePrefix="0" xfId="0">
      <alignment horizontal="left" vertical="top" wrapText="1"/>
    </xf>
    <xf numFmtId="0" fontId="5" fillId="4" borderId="2" applyAlignment="1" pivotButton="0" quotePrefix="0" xfId="0">
      <alignment horizontal="center" vertical="top" wrapText="1"/>
    </xf>
    <xf numFmtId="0" fontId="4" fillId="4" borderId="2" applyAlignment="1" pivotButton="0" quotePrefix="0" xfId="0">
      <alignment horizontal="left" vertical="top" wrapText="1"/>
    </xf>
    <xf numFmtId="0" fontId="6" fillId="3" borderId="2" applyAlignment="1" pivotButton="0" quotePrefix="0" xfId="0">
      <alignment horizontal="center" vertical="top" wrapText="1"/>
    </xf>
    <xf numFmtId="0" fontId="7" fillId="5" borderId="2" applyAlignment="1" pivotButton="0" quotePrefix="0" xfId="0">
      <alignment horizontal="center" vertical="top" wrapText="1"/>
    </xf>
    <xf numFmtId="0" fontId="6" fillId="4" borderId="2" applyAlignment="1" pivotButton="0" quotePrefix="0" xfId="0">
      <alignment horizontal="center" vertical="top" wrapText="1"/>
    </xf>
    <xf numFmtId="0" fontId="8" fillId="6" borderId="2" applyAlignment="1" pivotButton="0" quotePrefix="0" xfId="0">
      <alignment horizontal="center" vertical="top" wrapText="1"/>
    </xf>
    <xf numFmtId="0" fontId="9" fillId="7"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I28"/>
  <sheetViews>
    <sheetView showGridLines="1" workbookViewId="0">
      <selection activeCell="A1" sqref="A1"/>
    </sheetView>
  </sheetViews>
  <sheetFormatPr baseColWidth="8" defaultRowHeight="15"/>
  <cols>
    <col width="4" customWidth="1" min="1" max="1"/>
    <col width="6" customWidth="1" min="2" max="2"/>
    <col width="34" customWidth="1" min="3" max="3"/>
    <col width="26" customWidth="1" min="4" max="4"/>
    <col width="16" customWidth="1" min="5" max="5"/>
    <col width="14" customWidth="1" min="6" max="6"/>
    <col width="14" customWidth="1" min="7" max="7"/>
    <col width="14" customWidth="1" min="8" max="8"/>
    <col width="48" customWidth="1" min="9" max="9"/>
  </cols>
  <sheetData>
    <row r="2">
      <c r="B2" s="1" t="inlineStr">
        <is>
          <t>CAB SYSTEM – HỆ THỐNG ĐẶT XE TRỰC TUYẾN (MVP 7 TUẦN)</t>
        </is>
      </c>
    </row>
    <row r="3">
      <c r="B3" s="2" t="inlineStr">
        <is>
          <t>BỘ TÀI LIỆU TEST CASE ĐẶC TẢ NGHIỆP VỤ &amp; KIỂM THỬ CHỨC NĂNG TOÀN DIỆN</t>
        </is>
      </c>
    </row>
    <row r="4">
      <c r="B4" s="3" t="inlineStr">
        <is>
          <t>Dự án: 23638831_BuiThiDiemMy_cabsystem | Tiêu chuẩn: IEEE 829 / Agile Testing</t>
        </is>
      </c>
    </row>
    <row r="6" ht="22" customHeight="1">
      <c r="B6" s="4" t="inlineStr">
        <is>
          <t>Mã đồ án / Dự án:</t>
        </is>
      </c>
      <c r="C6" s="5" t="inlineStr">
        <is>
          <t>23638831_BuiThiDiemMy_cabsystem</t>
        </is>
      </c>
      <c r="D6" s="6" t="n"/>
      <c r="E6" s="6" t="n"/>
      <c r="F6" s="6" t="n"/>
      <c r="G6" s="6" t="n"/>
    </row>
    <row r="7" ht="22" customHeight="1">
      <c r="B7" s="4" t="inlineStr">
        <is>
          <t>Tên hệ thống:</t>
        </is>
      </c>
      <c r="C7" s="5" t="inlineStr">
        <is>
          <t>CAB System (Nền tảng kết nối hành khách &amp; tài xế)</t>
        </is>
      </c>
      <c r="D7" s="6" t="n"/>
      <c r="E7" s="6" t="n"/>
      <c r="F7" s="6" t="n"/>
      <c r="G7" s="6" t="n"/>
    </row>
    <row r="8" ht="22" customHeight="1">
      <c r="B8" s="4" t="inlineStr">
        <is>
          <t>Mục tiêu thử nghiệm:</t>
        </is>
      </c>
      <c r="C8" s="5" t="inlineStr">
        <is>
          <t>Kiểm thử xác nhận toàn bộ quy trình nghiệp vụ TO-BE cốt lõi của MVP 7 tuần</t>
        </is>
      </c>
      <c r="D8" s="6" t="n"/>
      <c r="E8" s="6" t="n"/>
      <c r="F8" s="6" t="n"/>
      <c r="G8" s="6" t="n"/>
    </row>
    <row r="9" ht="22" customHeight="1">
      <c r="B9" s="4" t="inlineStr">
        <is>
          <t>Quy trình nghiệp vụ lõi:</t>
        </is>
      </c>
      <c r="C9" s="5" t="inlineStr">
        <is>
          <t>Đặt xe → Tìm tài xế → Phân công → Thực hiện chuyến → Tính cước → Thanh toán → Đánh giá</t>
        </is>
      </c>
      <c r="D9" s="6" t="n"/>
      <c r="E9" s="6" t="n"/>
      <c r="F9" s="6" t="n"/>
      <c r="G9" s="6" t="n"/>
    </row>
    <row r="10" ht="22" customHeight="1">
      <c r="B10" s="4" t="inlineStr">
        <is>
          <t>Các bên liên quan chính:</t>
        </is>
      </c>
      <c r="C10" s="5" t="inlineStr">
        <is>
          <t>Khách hàng (Customer), Tài xế (Driver), Nhân viên vận hành (Operations Staff), Quản trị viên (Admin)</t>
        </is>
      </c>
      <c r="D10" s="6" t="n"/>
      <c r="E10" s="6" t="n"/>
      <c r="F10" s="6" t="n"/>
      <c r="G10" s="6" t="n"/>
    </row>
    <row r="12">
      <c r="B12" s="7" t="inlineStr">
        <is>
          <t>BẢNG THỐNG KÊ TEST CASE THEO MODULE &amp; PHÂN HỆ NGHIỆP VỤ</t>
        </is>
      </c>
    </row>
    <row r="13" ht="28" customHeight="1">
      <c r="B13" s="8" t="inlineStr">
        <is>
          <t>STT</t>
        </is>
      </c>
      <c r="C13" s="8" t="inlineStr">
        <is>
          <t>Phân hệ / Module kiểm thử</t>
        </is>
      </c>
      <c r="D13" s="8" t="inlineStr">
        <is>
          <t>Tên Sheet tương ứng</t>
        </is>
      </c>
      <c r="E13" s="8" t="inlineStr">
        <is>
          <t>Tổng Test Case</t>
        </is>
      </c>
      <c r="F13" s="8" t="inlineStr">
        <is>
          <t>High (P0)</t>
        </is>
      </c>
      <c r="G13" s="8" t="inlineStr">
        <is>
          <t>Medium (P1)</t>
        </is>
      </c>
      <c r="H13" s="8" t="inlineStr">
        <is>
          <t>Low (P2)</t>
        </is>
      </c>
      <c r="I13" s="8" t="inlineStr">
        <is>
          <t>Trọng tâm kiểm thử</t>
        </is>
      </c>
    </row>
    <row r="14" ht="24" customHeight="1">
      <c r="B14" s="9" t="n">
        <v>1</v>
      </c>
      <c r="C14" s="10" t="inlineStr">
        <is>
          <t>Quản lý tài khoản &amp; Xác thực</t>
        </is>
      </c>
      <c r="D14" s="11" t="inlineStr">
        <is>
          <t>1. Account &amp; Auth</t>
        </is>
      </c>
      <c r="E14" s="12">
        <f>COUNTA('1. Account &amp; Auth'!A5:A100)</f>
        <v/>
      </c>
      <c r="F14" s="13">
        <f>COUNTIF('1. Account &amp; Auth'!H5:H100, "High")</f>
        <v/>
      </c>
      <c r="G14" s="14">
        <f>COUNTIF('1. Account &amp; Auth'!H5:H100, "Medium")</f>
        <v/>
      </c>
      <c r="H14" s="15">
        <f>COUNTIF('1. Account &amp; Auth'!H5:H100, "Low")</f>
        <v/>
      </c>
      <c r="I14" s="16" t="inlineStr">
        <is>
          <t>Đăng ký, Đăng nhập, Quản lý hồ sơ, Bảo mật mật khẩu</t>
        </is>
      </c>
    </row>
    <row r="15" ht="24" customHeight="1">
      <c r="B15" s="17" t="n">
        <v>2</v>
      </c>
      <c r="C15" s="18" t="inlineStr">
        <is>
          <t>Tài xế &amp; Quản lý phương tiện</t>
        </is>
      </c>
      <c r="D15" s="19" t="inlineStr">
        <is>
          <t>2. Driver &amp; Vehicle</t>
        </is>
      </c>
      <c r="E15" s="20">
        <f>COUNTA('2. Driver &amp; Vehicle'!A5:A100)</f>
        <v/>
      </c>
      <c r="F15" s="21">
        <f>COUNTIF('2. Driver &amp; Vehicle'!H5:H100, "High")</f>
        <v/>
      </c>
      <c r="G15" s="22">
        <f>COUNTIF('2. Driver &amp; Vehicle'!H5:H100, "Medium")</f>
        <v/>
      </c>
      <c r="H15" s="23">
        <f>COUNTIF('2. Driver &amp; Vehicle'!H5:H100, "Low")</f>
        <v/>
      </c>
      <c r="I15" s="24" t="inlineStr">
        <is>
          <t>Trạng thái Online/Offline, Hồ sơ xe, Định vị GPS</t>
        </is>
      </c>
    </row>
    <row r="16" ht="24" customHeight="1">
      <c r="B16" s="9" t="n">
        <v>3</v>
      </c>
      <c r="C16" s="10" t="inlineStr">
        <is>
          <t>Yêu cầu đặt xe (Ride Booking)</t>
        </is>
      </c>
      <c r="D16" s="11" t="inlineStr">
        <is>
          <t>3. Ride Booking</t>
        </is>
      </c>
      <c r="E16" s="12">
        <f>COUNTA('3. Ride Booking'!A5:A100)</f>
        <v/>
      </c>
      <c r="F16" s="13">
        <f>COUNTIF('3. Ride Booking'!H5:H100, "High")</f>
        <v/>
      </c>
      <c r="G16" s="14">
        <f>COUNTIF('3. Ride Booking'!H5:H100, "Medium")</f>
        <v/>
      </c>
      <c r="H16" s="15">
        <f>COUNTIF('3. Ride Booking'!H5:H100, "Low")</f>
        <v/>
      </c>
      <c r="I16" s="16" t="inlineStr">
        <is>
          <t>Nhập điểm đón/đến, Chọn xe 4/7 chỗ, Ước tính cước, Hủy tìm</t>
        </is>
      </c>
    </row>
    <row r="17" ht="24" customHeight="1">
      <c r="B17" s="17" t="n">
        <v>4</v>
      </c>
      <c r="C17" s="18" t="inlineStr">
        <is>
          <t>Tìm &amp; Phân công tài xế (Matching)</t>
        </is>
      </c>
      <c r="D17" s="19" t="inlineStr">
        <is>
          <t>4. Driver Matching</t>
        </is>
      </c>
      <c r="E17" s="20">
        <f>COUNTA('4. Driver Matching'!A5:A100)</f>
        <v/>
      </c>
      <c r="F17" s="21">
        <f>COUNTIF('4. Driver Matching'!H5:H100, "High")</f>
        <v/>
      </c>
      <c r="G17" s="22">
        <f>COUNTIF('4. Driver Matching'!H5:H100, "Medium")</f>
        <v/>
      </c>
      <c r="H17" s="23">
        <f>COUNTIF('4. Driver Matching'!H5:H100, "Low")</f>
        <v/>
      </c>
      <c r="I17" s="24" t="inlineStr">
        <is>
          <t>Thuật toán ưu tiên gần nhất, Nhận/Từ chối cuốc, Timeout, Retry</t>
        </is>
      </c>
    </row>
    <row r="18" ht="24" customHeight="1">
      <c r="B18" s="9" t="n">
        <v>5</v>
      </c>
      <c r="C18" s="10" t="inlineStr">
        <is>
          <t>Thực hiện chuyến đi (Trip Lifecycle)</t>
        </is>
      </c>
      <c r="D18" s="11" t="inlineStr">
        <is>
          <t>5. Trip Management</t>
        </is>
      </c>
      <c r="E18" s="12">
        <f>COUNTA('5. Trip Management'!A5:A100)</f>
        <v/>
      </c>
      <c r="F18" s="13">
        <f>COUNTIF('5. Trip Management'!H5:H100, "High")</f>
        <v/>
      </c>
      <c r="G18" s="14">
        <f>COUNTIF('5. Trip Management'!H5:H100, "Medium")</f>
        <v/>
      </c>
      <c r="H18" s="15">
        <f>COUNTIF('5. Trip Management'!H5:H100, "Low")</f>
        <v/>
      </c>
      <c r="I18" s="16" t="inlineStr">
        <is>
          <t>Máy trạng thái: Assigned -&gt; Arriving -&gt; Arrived -&gt; PickedUp -&gt; Completed</t>
        </is>
      </c>
    </row>
    <row r="19" ht="24" customHeight="1">
      <c r="B19" s="17" t="n">
        <v>6</v>
      </c>
      <c r="C19" s="18" t="inlineStr">
        <is>
          <t>Tính cước &amp; Thanh toán</t>
        </is>
      </c>
      <c r="D19" s="19" t="inlineStr">
        <is>
          <t>6. Fare &amp; Payment</t>
        </is>
      </c>
      <c r="E19" s="20">
        <f>COUNTA('6. Fare &amp; Payment'!A5:A100)</f>
        <v/>
      </c>
      <c r="F19" s="21">
        <f>COUNTIF('6. Fare &amp; Payment'!H5:H100, "High")</f>
        <v/>
      </c>
      <c r="G19" s="22">
        <f>COUNTIF('6. Fare &amp; Payment'!H5:H100, "Medium")</f>
        <v/>
      </c>
      <c r="H19" s="23">
        <f>COUNTIF('6. Fare &amp; Payment'!H5:H100, "Low")</f>
        <v/>
      </c>
      <c r="I19" s="24" t="inlineStr">
        <is>
          <t>Tính tiền cước, Tiền mặt, Cổng thanh toán điện tử, Xử lý lỗi trừ tiền</t>
        </is>
      </c>
    </row>
    <row r="20" ht="24" customHeight="1">
      <c r="B20" s="9" t="n">
        <v>7</v>
      </c>
      <c r="C20" s="10" t="inlineStr">
        <is>
          <t>Vận hành, Đánh giá &amp; An toàn</t>
        </is>
      </c>
      <c r="D20" s="11" t="inlineStr">
        <is>
          <t>7. Operations &amp; Security</t>
        </is>
      </c>
      <c r="E20" s="12">
        <f>COUNTA('7. Operations &amp; Security'!A5:A100)</f>
        <v/>
      </c>
      <c r="F20" s="13">
        <f>COUNTIF('7. Operations &amp; Security'!H5:H100, "High")</f>
        <v/>
      </c>
      <c r="G20" s="14">
        <f>COUNTIF('7. Operations &amp; Security'!H5:H100, "Medium")</f>
        <v/>
      </c>
      <c r="H20" s="15">
        <f>COUNTIF('7. Operations &amp; Security'!H5:H100, "Low")</f>
        <v/>
      </c>
      <c r="I20" s="16" t="inlineStr">
        <is>
          <t>Đánh giá sao, Thông báo push, Điều phối viên xử lý sự cố, Audit Log</t>
        </is>
      </c>
    </row>
    <row r="21" ht="26" customHeight="1">
      <c r="B21" s="25" t="inlineStr">
        <is>
          <t>TỔNG CỘNG</t>
        </is>
      </c>
      <c r="C21" s="26" t="n"/>
      <c r="D21" s="26" t="n"/>
      <c r="E21" s="25">
        <f>SUM(E14:E20)</f>
        <v/>
      </c>
      <c r="F21" s="27">
        <f>SUM(F14:F20)</f>
        <v/>
      </c>
      <c r="G21" s="28">
        <f>SUM(G14:G20)</f>
        <v/>
      </c>
      <c r="H21" s="29">
        <f>SUM(H14:H20)</f>
        <v/>
      </c>
      <c r="I21" s="30" t="inlineStr">
        <is>
          <t>Bao phủ 100% các Use Case &amp; Business Rules trọng yếu trong MVP 7 tuần</t>
        </is>
      </c>
    </row>
    <row r="24">
      <c r="B24" s="31" t="inlineStr">
        <is>
          <t>HƯỚNG DẪN THỰC HIỆN KIỂM THỬ VÀ GHI NHẬN LỖI (TEST EXECUTION)</t>
        </is>
      </c>
    </row>
    <row r="25" ht="22" customHeight="1">
      <c r="B25" s="32" t="inlineStr">
        <is>
          <t>1. Chuẩn bị môi trường (Pre-requisites):</t>
        </is>
      </c>
      <c r="C25" s="33" t="n"/>
      <c r="D25" s="34" t="inlineStr">
        <is>
          <t>Đảm bảo database test có sẵn dữ liệu tài khoản khách hàng, tài xế kích hoạt, xe đã duyệt và dịch vụ bản đồ giả lập GPS.</t>
        </is>
      </c>
      <c r="E25" s="35" t="n"/>
      <c r="F25" s="35" t="n"/>
      <c r="G25" s="35" t="n"/>
      <c r="H25" s="35" t="n"/>
      <c r="I25" s="35" t="n"/>
    </row>
    <row r="26" ht="22" customHeight="1">
      <c r="B26" s="32" t="inlineStr">
        <is>
          <t>2. Thứ tự ưu tiên (Priority execution):</t>
        </is>
      </c>
      <c r="C26" s="33" t="n"/>
      <c r="D26" s="34" t="inlineStr">
        <is>
          <t>Thực hiện toàn bộ các Test Case mức High (P0) trước nhằm xác nhận luồng Happy Path thông suốt từ Đặt xe đến Thanh toán.</t>
        </is>
      </c>
      <c r="E26" s="35" t="n"/>
      <c r="F26" s="35" t="n"/>
      <c r="G26" s="35" t="n"/>
      <c r="H26" s="35" t="n"/>
      <c r="I26" s="35" t="n"/>
    </row>
    <row r="27" ht="22" customHeight="1">
      <c r="B27" s="32" t="inlineStr">
        <is>
          <t>3. Tiêu chí Đạt (Pass Criteria):</t>
        </is>
      </c>
      <c r="C27" s="33" t="n"/>
      <c r="D27" s="34" t="inlineStr">
        <is>
          <t>Kết quả thực tế (Actual Result) khớp 100% với Kết quả mong đợi (Expected Result) và các Business Rules (BR-01 đến BR-20).</t>
        </is>
      </c>
      <c r="E27" s="35" t="n"/>
      <c r="F27" s="35" t="n"/>
      <c r="G27" s="35" t="n"/>
      <c r="H27" s="35" t="n"/>
      <c r="I27" s="35" t="n"/>
    </row>
    <row r="28" ht="22" customHeight="1">
      <c r="B28" s="32" t="inlineStr">
        <is>
          <t>4. Quản lý Bug phát sinh:</t>
        </is>
      </c>
      <c r="C28" s="33" t="n"/>
      <c r="D28" s="34" t="inlineStr">
        <is>
          <t>Ghi nhận Bug ID, đính kèm Test Case ID tương ứng, mô tả bước tái hiện (Steps to Reproduce) và log lỗi của API/Client.</t>
        </is>
      </c>
      <c r="E28" s="35" t="n"/>
      <c r="F28" s="35" t="n"/>
      <c r="G28" s="35" t="n"/>
      <c r="H28" s="35" t="n"/>
      <c r="I28" s="35" t="n"/>
    </row>
  </sheetData>
  <mergeCells count="14">
    <mergeCell ref="C7:G7"/>
    <mergeCell ref="D27:I27"/>
    <mergeCell ref="B25:C25"/>
    <mergeCell ref="C6:G6"/>
    <mergeCell ref="C10:G10"/>
    <mergeCell ref="D28:I28"/>
    <mergeCell ref="B28:C28"/>
    <mergeCell ref="B21:D21"/>
    <mergeCell ref="B26:C26"/>
    <mergeCell ref="B27:C27"/>
    <mergeCell ref="C8:G8"/>
    <mergeCell ref="C9:G9"/>
    <mergeCell ref="D25:I25"/>
    <mergeCell ref="D26:I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showGridLines="1" workbookViewId="0">
      <selection activeCell="A1" sqref="A1"/>
    </sheetView>
  </sheetViews>
  <sheetFormatPr baseColWidth="8" defaultRowHeight="15"/>
  <cols>
    <col width="16" customWidth="1" min="1" max="1"/>
    <col width="25" customWidth="1" min="2" max="2"/>
    <col width="38" customWidth="1" min="3" max="3"/>
    <col width="30" customWidth="1" min="4" max="4"/>
    <col width="32" customWidth="1" min="5" max="5"/>
  </cols>
  <sheetData>
    <row r="1">
      <c r="A1" s="36" t="inlineStr">
        <is>
          <t>TÀI LIỆU QUY CHUẨN THIẾT KẾ TEST CASE - HỆ THỐNG CAB SYSTEM</t>
        </is>
      </c>
    </row>
    <row r="2">
      <c r="A2" s="3" t="inlineStr">
        <is>
          <t>Quy định cấu trúc bảng kiểm thử, định dạng các trường dữ liệu và thang đo mức độ ưu tiên (Priority)</t>
        </is>
      </c>
    </row>
    <row r="4" ht="28" customHeight="1">
      <c r="A4" s="8" t="inlineStr">
        <is>
          <t>Cột</t>
        </is>
      </c>
      <c r="B4" s="8" t="inlineStr">
        <is>
          <t>Ý nghĩa</t>
        </is>
      </c>
      <c r="C4" s="8" t="inlineStr">
        <is>
          <t>Mô tả chi tiết</t>
        </is>
      </c>
      <c r="D4" s="8" t="inlineStr">
        <is>
          <t>Quy chuẩn &amp; Định dạng dữ liệu</t>
        </is>
      </c>
      <c r="E4" s="8" t="inlineStr">
        <is>
          <t>Ví dụ minh họa</t>
        </is>
      </c>
    </row>
    <row r="5" ht="42" customHeight="1">
      <c r="A5" s="37" t="inlineStr">
        <is>
          <t>Test Case ID</t>
        </is>
      </c>
      <c r="B5" s="38" t="inlineStr">
        <is>
          <t>Mã định danh duy nhất của Test Case</t>
        </is>
      </c>
      <c r="C5" s="38" t="inlineStr">
        <is>
          <t>Dùng để quản lý, tham chiếu chéo với Functional Requirements (FR) và Use Case (UC).</t>
        </is>
      </c>
      <c r="D5" s="38" t="inlineStr">
        <is>
          <t>Định dạng: TC-[MODULE]-[STT 3 số]</t>
        </is>
      </c>
      <c r="E5" s="38" t="inlineStr">
        <is>
          <t>TC-AUTH-001, TC-BOOK-005, TC-TRIP-002</t>
        </is>
      </c>
    </row>
    <row r="6" ht="42" customHeight="1">
      <c r="A6" s="39" t="inlineStr">
        <is>
          <t>Test Scenario</t>
        </is>
      </c>
      <c r="B6" s="40" t="inlineStr">
        <is>
          <t>Kịch bản kiểm thử tổng quát</t>
        </is>
      </c>
      <c r="C6" s="40" t="inlineStr">
        <is>
          <t>Mô tả chức năng hoặc luồng nghiệp vụ tổng quan mà test case đang kiểm chứng.</t>
        </is>
      </c>
      <c r="D6" s="40" t="inlineStr">
        <is>
          <t>Văn bản ngắn gọn, phản ánh đúng mục tiêu use case.</t>
        </is>
      </c>
      <c r="E6" s="40" t="inlineStr">
        <is>
          <t>Khách hàng đặt xe mới, Xử lý khi tài xế từ chối chuyến</t>
        </is>
      </c>
    </row>
    <row r="7" ht="42" customHeight="1">
      <c r="A7" s="37" t="inlineStr">
        <is>
          <t>Test Case</t>
        </is>
      </c>
      <c r="B7" s="38" t="inlineStr">
        <is>
          <t>Trường hợp kiểm thử chi tiết</t>
        </is>
      </c>
      <c r="C7" s="38" t="inlineStr">
        <is>
          <t>Mô tả tình huống cụ thể (Positive / Negative / Boundary / Exception).</t>
        </is>
      </c>
      <c r="D7" s="38" t="inlineStr">
        <is>
          <t>Động từ hành động + điều kiện dữ liệu + kết quả kỳ vọng rút gọn.</t>
        </is>
      </c>
      <c r="E7" s="38" t="inlineStr">
        <is>
          <t>Đăng nhập thành công với mật khẩu đúng, Nhập điểm đón trùng điểm đến</t>
        </is>
      </c>
    </row>
    <row r="8" ht="42" customHeight="1">
      <c r="A8" s="39" t="inlineStr">
        <is>
          <t>Preconditions</t>
        </is>
      </c>
      <c r="B8" s="40" t="inlineStr">
        <is>
          <t>Điều kiện tiên quyết</t>
        </is>
      </c>
      <c r="C8" s="40" t="inlineStr">
        <is>
          <t>Trạng thái hệ thống, dữ liệu nền hoặc quyền hạn người dùng trước khi bắt đầu.</t>
        </is>
      </c>
      <c r="D8" s="40" t="inlineStr">
        <is>
          <t>Liệt kê rõ trạng thái tài khoản, số dư, kết nối GPS...</t>
        </is>
      </c>
      <c r="E8" s="40" t="inlineStr">
        <is>
          <t>Tài xế đang Online, Khách hàng đã đăng nhập và có tọa độ hợp lệ</t>
        </is>
      </c>
    </row>
    <row r="9" ht="42" customHeight="1">
      <c r="A9" s="37" t="inlineStr">
        <is>
          <t>Test Steps</t>
        </is>
      </c>
      <c r="B9" s="38" t="inlineStr">
        <is>
          <t>Các bước thực hiện kiểm thử</t>
        </is>
      </c>
      <c r="C9" s="38" t="inlineStr">
        <is>
          <t>Trình tự thao tác từng bước mà Tester hoặc hệ thống tự động sẽ thực hiện.</t>
        </is>
      </c>
      <c r="D9" s="38" t="inlineStr">
        <is>
          <t>Đánh số thứ tự 1., 2., 3. rõ ràng từng thao tác giao diện/API.</t>
        </is>
      </c>
      <c r="E9" s="38" t="inlineStr">
        <is>
          <t>1. Nhập điểm đón
2. Nhập điểm đến
3. Chọn xe 4 chỗ
4. Bấm 'Tìm tài xế'</t>
        </is>
      </c>
    </row>
    <row r="10" ht="42" customHeight="1">
      <c r="A10" s="39" t="inlineStr">
        <is>
          <t>Test Data</t>
        </is>
      </c>
      <c r="B10" s="40" t="inlineStr">
        <is>
          <t>Dữ liệu kiểm thử đầu vào</t>
        </is>
      </c>
      <c r="C10" s="40" t="inlineStr">
        <is>
          <t>Các giá trị dữ liệu cụ thể dùng để đưa vào biểu mẫu hoặc tham số gọi API.</t>
        </is>
      </c>
      <c r="D10" s="40" t="inlineStr">
        <is>
          <t>Tên trường: Giá trị cụ thể (thực tế, rõ ràng).</t>
        </is>
      </c>
      <c r="E10" s="40" t="inlineStr">
        <is>
          <t>Điểm đón: 123 Lê Lợi, Q1
Điểm đến: Sân bay TSN
Loại xe: Car 4S</t>
        </is>
      </c>
    </row>
    <row r="11" ht="42" customHeight="1">
      <c r="A11" s="37" t="inlineStr">
        <is>
          <t>Expected Result</t>
        </is>
      </c>
      <c r="B11" s="38" t="inlineStr">
        <is>
          <t>Kết quả mong đợi</t>
        </is>
      </c>
      <c r="C11" s="38" t="inlineStr">
        <is>
          <t>Phản ứng chính xác của hệ thống theo đúng Business Rules &amp; Use Case Spec.</t>
        </is>
      </c>
      <c r="D11" s="38" t="inlineStr">
        <is>
          <t>Bao gồm thay đổi trạng thái DB, thông báo UI, push notification, log.</t>
        </is>
      </c>
      <c r="E11" s="38" t="inlineStr">
        <is>
          <t>Hệ thống tạo chuyến ở trạng thái 'Searching', gửi push thông báo đến tài xế gần nhất</t>
        </is>
      </c>
    </row>
    <row r="12" ht="42" customHeight="1">
      <c r="A12" s="39" t="inlineStr">
        <is>
          <t>Priority</t>
        </is>
      </c>
      <c r="B12" s="40" t="inlineStr">
        <is>
          <t>Mức độ ưu tiên thực hiện</t>
        </is>
      </c>
      <c r="C12" s="40" t="inlineStr">
        <is>
          <t>Độ khẩn cấp và tầm ảnh hưởng của test case đến quy trình kinh doanh MVP 7 tuần.</t>
        </is>
      </c>
      <c r="D12" s="40" t="inlineStr">
        <is>
          <t>High (Chức năng cốt lõi P0, luồng chính) / Medium (Biên, lỗi ngoại lệ P1) / Low (Giao diện phụ, P2).</t>
        </is>
      </c>
      <c r="E12" s="40" t="inlineStr">
        <is>
          <t>High / Medium / 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1" workbookViewId="0">
      <pane ySplit="4" topLeftCell="A5" activePane="bottomLeft" state="frozen"/>
      <selection pane="bottomLeft" activeCell="A1" sqref="A1"/>
    </sheetView>
  </sheetViews>
  <sheetFormatPr baseColWidth="8" defaultRowHeight="15"/>
  <cols>
    <col width="15" customWidth="1" min="1" max="1"/>
    <col width="22" customWidth="1" min="2" max="2"/>
    <col width="28" customWidth="1" min="3" max="3"/>
    <col width="25" customWidth="1" min="4" max="4"/>
    <col width="36" customWidth="1" min="5" max="5"/>
    <col width="26" customWidth="1" min="6" max="6"/>
    <col width="38" customWidth="1" min="7" max="7"/>
    <col width="12" customWidth="1" min="8" max="8"/>
  </cols>
  <sheetData>
    <row r="1">
      <c r="A1" s="36" t="inlineStr">
        <is>
          <t>BẢNG KIỂM THỬ: 1. ACCOUNT &amp; AUTH</t>
        </is>
      </c>
    </row>
    <row r="2">
      <c r="A2" s="3" t="inlineStr">
        <is>
          <t>Kiểm thử các chức năng Quản lý tài khoản, Đăng ký, Đăng nhập và Xác thực (FR01, FR02, FR12)</t>
        </is>
      </c>
    </row>
    <row r="4" ht="28" customHeight="1">
      <c r="A4" s="8" t="inlineStr">
        <is>
          <t>Test Case ID</t>
        </is>
      </c>
      <c r="B4" s="8" t="inlineStr">
        <is>
          <t>Test Scenario</t>
        </is>
      </c>
      <c r="C4" s="8" t="inlineStr">
        <is>
          <t>Test Case</t>
        </is>
      </c>
      <c r="D4" s="8" t="inlineStr">
        <is>
          <t>Preconditions</t>
        </is>
      </c>
      <c r="E4" s="8" t="inlineStr">
        <is>
          <t>Test Steps</t>
        </is>
      </c>
      <c r="F4" s="8" t="inlineStr">
        <is>
          <t>Test Data</t>
        </is>
      </c>
      <c r="G4" s="8" t="inlineStr">
        <is>
          <t>Expected Result</t>
        </is>
      </c>
      <c r="H4" s="8" t="inlineStr">
        <is>
          <t>Priority</t>
        </is>
      </c>
    </row>
    <row r="5" ht="90" customHeight="1">
      <c r="A5" s="41" t="inlineStr">
        <is>
          <t>TC-AUTH-001</t>
        </is>
      </c>
      <c r="B5" s="38" t="inlineStr">
        <is>
          <t>Đăng ký tài khoản Khách hàng</t>
        </is>
      </c>
      <c r="C5" s="38" t="inlineStr">
        <is>
          <t>Đăng ký thành công với thông tin hợp lệ</t>
        </is>
      </c>
      <c r="D5" s="38" t="inlineStr">
        <is>
          <t>Khách hàng chưa có tài khoản trong hệ thống, đang ở màn hình Đăng ký</t>
        </is>
      </c>
      <c r="E5" s="38" t="inlineStr">
        <is>
          <t>1. Mở màn hình Đăng ký
2. Nhập họ tên, số điện thoại, email, mật khẩu hợp lệ
3. Nhấn nút 'Đăng ký'
4. Nhập mã OTP xác thực được gửi đến SĐT</t>
        </is>
      </c>
      <c r="F5" s="38" t="inlineStr">
        <is>
          <t>Họ tên: Nguyễn Văn An
SĐT: 0912345678
Email: an.nguyen@example.com
Mật khẩu: Password@123
OTP: 123456</t>
        </is>
      </c>
      <c r="G5" s="38" t="inlineStr">
        <is>
          <t>Tài khoản được tạo thành công với Role 'Customer', trạng thái Active; hệ thống tự động đăng nhập hoặc chuyển về trang chủ</t>
        </is>
      </c>
      <c r="H5" s="42" t="inlineStr">
        <is>
          <t>High</t>
        </is>
      </c>
    </row>
    <row r="6" ht="72" customHeight="1">
      <c r="A6" s="43" t="inlineStr">
        <is>
          <t>TC-AUTH-002</t>
        </is>
      </c>
      <c r="B6" s="40" t="inlineStr">
        <is>
          <t>Đăng ký tài khoản Khách hàng</t>
        </is>
      </c>
      <c r="C6" s="40" t="inlineStr">
        <is>
          <t>Đăng ký với Số điện thoại đã tồn tại</t>
        </is>
      </c>
      <c r="D6" s="40" t="inlineStr">
        <is>
          <t>SĐT 0912345678 đã được đăng ký và kích hoạt trước đó</t>
        </is>
      </c>
      <c r="E6" s="40" t="inlineStr">
        <is>
          <t>1. Nhập họ tên hợp lệ
2. Nhập SĐT đã tồn tại
3. Nhập mật khẩu hợp lệ
4. Nhấn nút 'Đăng ký'</t>
        </is>
      </c>
      <c r="F6" s="40" t="inlineStr">
        <is>
          <t>Họ tên: Trần Văn Bình
SĐT: 0912345678
Mật khẩu: Password@123</t>
        </is>
      </c>
      <c r="G6" s="40" t="inlineStr">
        <is>
          <t>Hệ thống từ chối đăng ký; hiển thị thông báo lỗi 'Số điện thoại này đã được sử dụng'</t>
        </is>
      </c>
      <c r="H6" s="42" t="inlineStr">
        <is>
          <t>High</t>
        </is>
      </c>
    </row>
    <row r="7" ht="54" customHeight="1">
      <c r="A7" s="41" t="inlineStr">
        <is>
          <t>TC-AUTH-003</t>
        </is>
      </c>
      <c r="B7" s="38" t="inlineStr">
        <is>
          <t>Đăng ký tài khoản Khách hàng</t>
        </is>
      </c>
      <c r="C7" s="38" t="inlineStr">
        <is>
          <t>Để trống các trường bắt buộc (Họ tên, SĐT, Mật khẩu)</t>
        </is>
      </c>
      <c r="D7" s="38" t="inlineStr">
        <is>
          <t>Đang ở màn hình Đăng ký</t>
        </is>
      </c>
      <c r="E7" s="38" t="inlineStr">
        <is>
          <t>1. Để trống toàn bộ hoặc một số trường bắt buộc
2. Nhấn nút 'Đăng ký'</t>
        </is>
      </c>
      <c r="F7" s="38" t="inlineStr">
        <is>
          <t>Họ tên: (trống)
SĐT: (trống)
Mật khẩu: (trống)</t>
        </is>
      </c>
      <c r="G7" s="38" t="inlineStr">
        <is>
          <t>Hệ thống ngăn chặn gửi form; hiển thị validation message yêu cầu điền đầy đủ các trường bắt buộc</t>
        </is>
      </c>
      <c r="H7" s="44" t="inlineStr">
        <is>
          <t>Medium</t>
        </is>
      </c>
    </row>
    <row r="8" ht="54" customHeight="1">
      <c r="A8" s="43" t="inlineStr">
        <is>
          <t>TC-AUTH-004</t>
        </is>
      </c>
      <c r="B8" s="40" t="inlineStr">
        <is>
          <t>Đăng ký tài khoản Khách hàng</t>
        </is>
      </c>
      <c r="C8" s="40" t="inlineStr">
        <is>
          <t>Đăng ký với mật khẩu yếu không đúng chính sách</t>
        </is>
      </c>
      <c r="D8" s="40" t="inlineStr">
        <is>
          <t>Đang ở màn hình Đăng ký</t>
        </is>
      </c>
      <c r="E8" s="40" t="inlineStr">
        <is>
          <t>1. Nhập họ tên, SĐT hợp lệ
2. Nhập mật khẩu không đủ độ dài hoặc thiếu ký tự đặc biệt/số
3. Nhấn 'Đăng ký'</t>
        </is>
      </c>
      <c r="F8" s="40" t="inlineStr">
        <is>
          <t>SĐT: 0987654321
Mật khẩu: 123</t>
        </is>
      </c>
      <c r="G8" s="40" t="inlineStr">
        <is>
          <t>Hệ thống hiển thị lỗi yêu cầu mật khẩu tối thiểu 8 ký tự, có chữ hoa, chữ thường và số/ký tự đặc biệt</t>
        </is>
      </c>
      <c r="H8" s="44" t="inlineStr">
        <is>
          <t>Medium</t>
        </is>
      </c>
    </row>
    <row r="9" ht="72" customHeight="1">
      <c r="A9" s="41" t="inlineStr">
        <is>
          <t>TC-AUTH-005</t>
        </is>
      </c>
      <c r="B9" s="38" t="inlineStr">
        <is>
          <t>Đăng ký tài khoản Tài xế</t>
        </is>
      </c>
      <c r="C9" s="38" t="inlineStr">
        <is>
          <t>Tài xế đăng ký tài khoản với giấy phép lái xe hợp lệ</t>
        </is>
      </c>
      <c r="D9" s="38" t="inlineStr">
        <is>
          <t>Tài xế mới đăng ký trên ứng dụng tài xế hoặc qua cổng vận hành</t>
        </is>
      </c>
      <c r="E9" s="38" t="inlineStr">
        <is>
          <t>1. Nhập thông tin cá nhân tài xế
2. Tải lên ảnh GPLX và CCCD
3. Nhập số GPLX
4. Nhấn 'Nộp hồ sơ'</t>
        </is>
      </c>
      <c r="F9" s="38" t="inlineStr">
        <is>
          <t>Tên: Lê Văn Cường
SĐT: 0933112233
Số GPLX: B2-7901234567
Ảnh CCCD &amp; GPLX: valid_license.jpg</t>
        </is>
      </c>
      <c r="G9" s="38" t="inlineStr">
        <is>
          <t>Tài khoản tài xế được tạo ở trạng thái 'Pending_Approval' (Chờ duyệt bởi Nhân viên vận hành)</t>
        </is>
      </c>
      <c r="H9" s="42" t="inlineStr">
        <is>
          <t>High</t>
        </is>
      </c>
    </row>
    <row r="10" ht="72" customHeight="1">
      <c r="A10" s="43" t="inlineStr">
        <is>
          <t>TC-AUTH-006</t>
        </is>
      </c>
      <c r="B10" s="40" t="inlineStr">
        <is>
          <t>Đăng nhập hệ thống</t>
        </is>
      </c>
      <c r="C10" s="40" t="inlineStr">
        <is>
          <t>Đăng nhập thành công với SĐT/Username và Password đúng</t>
        </is>
      </c>
      <c r="D10" s="40" t="inlineStr">
        <is>
          <t>Tài khoản khách hàng đã đăng ký và đang ở trạng thái Active</t>
        </is>
      </c>
      <c r="E10" s="40" t="inlineStr">
        <is>
          <t>1. Mở màn hình Đăng nhập
2. Nhập số điện thoại/username
3. Nhập mật khẩu đúng
4. Nhấn 'Đăng nhập'</t>
        </is>
      </c>
      <c r="F10" s="40" t="inlineStr">
        <is>
          <t>Username/SĐT: 0912345678
Mật khẩu: Password@123</t>
        </is>
      </c>
      <c r="G10" s="40" t="inlineStr">
        <is>
          <t>Đăng nhập thành công; hệ thống cấp Access Token và chuyển đến màn hình Đặt xe / Bản đồ</t>
        </is>
      </c>
      <c r="H10" s="42" t="inlineStr">
        <is>
          <t>High</t>
        </is>
      </c>
    </row>
    <row r="11" ht="54" customHeight="1">
      <c r="A11" s="41" t="inlineStr">
        <is>
          <t>TC-AUTH-007</t>
        </is>
      </c>
      <c r="B11" s="38" t="inlineStr">
        <is>
          <t>Đăng nhập hệ thống</t>
        </is>
      </c>
      <c r="C11" s="38" t="inlineStr">
        <is>
          <t>Đăng nhập với mật khẩu không chính xác</t>
        </is>
      </c>
      <c r="D11" s="38" t="inlineStr">
        <is>
          <t>Tài khoản 0912345678 đang hoạt động bình thường</t>
        </is>
      </c>
      <c r="E11" s="38" t="inlineStr">
        <is>
          <t>1. Nhập đúng SĐT
2. Nhập mật khẩu sai
3. Nhấn 'Đăng nhập'</t>
        </is>
      </c>
      <c r="F11" s="38" t="inlineStr">
        <is>
          <t>Username: 0912345678
Mật khẩu: WrongPass@999</t>
        </is>
      </c>
      <c r="G11" s="38" t="inlineStr">
        <is>
          <t>Đăng nhập thất bại; hiển thị lỗi 'Thông tin đăng nhập không chính xác'; không cấp token</t>
        </is>
      </c>
      <c r="H11" s="42" t="inlineStr">
        <is>
          <t>High</t>
        </is>
      </c>
    </row>
    <row r="12" ht="38" customHeight="1">
      <c r="A12" s="43" t="inlineStr">
        <is>
          <t>TC-AUTH-008</t>
        </is>
      </c>
      <c r="B12" s="40" t="inlineStr">
        <is>
          <t>Đăng nhập hệ thống</t>
        </is>
      </c>
      <c r="C12" s="40" t="inlineStr">
        <is>
          <t>Đăng nhập bằng tài khoản bị khóa (Locked/Suspended)</t>
        </is>
      </c>
      <c r="D12" s="40" t="inlineStr">
        <is>
          <t>Tài khoản 0900000001 bị Ban quản trị khóa do vi phạm chính sách</t>
        </is>
      </c>
      <c r="E12" s="40" t="inlineStr">
        <is>
          <t>1. Nhập thông tin đăng nhập của tài khoản bị khóa
2. Nhấn 'Đăng nhập'</t>
        </is>
      </c>
      <c r="F12" s="40" t="inlineStr">
        <is>
          <t>Username: 0900000001
Mật khẩu: Password@123</t>
        </is>
      </c>
      <c r="G12" s="40" t="inlineStr">
        <is>
          <t>Đăng nhập thất bại; hiển thị thông báo 'Tài khoản của bạn đã bị khóa, vui lòng liên hệ CSKH'</t>
        </is>
      </c>
      <c r="H12" s="42" t="inlineStr">
        <is>
          <t>High</t>
        </is>
      </c>
    </row>
    <row r="13" ht="38" customHeight="1">
      <c r="A13" s="41" t="inlineStr">
        <is>
          <t>TC-AUTH-009</t>
        </is>
      </c>
      <c r="B13" s="38" t="inlineStr">
        <is>
          <t>Đăng nhập hệ thống</t>
        </is>
      </c>
      <c r="C13" s="38" t="inlineStr">
        <is>
          <t>Bảo vệ Brute Force: Khóa tạm thời sau 5 lần nhập sai liên tiếp</t>
        </is>
      </c>
      <c r="D13" s="38" t="inlineStr">
        <is>
          <t>Tài khoản hợp lệ đang Active</t>
        </is>
      </c>
      <c r="E13" s="38" t="inlineStr">
        <is>
          <t>1. Nhập đúng SĐT
2. Nhập sai mật khẩu liên tiếp 5 lần</t>
        </is>
      </c>
      <c r="F13" s="38" t="inlineStr">
        <is>
          <t>Username: 0912345678
Mật khẩu sai 5 lần</t>
        </is>
      </c>
      <c r="G13" s="38" t="inlineStr">
        <is>
          <t>Hệ thống tạm khóa tài khoản hoặc bắt buộc chờ 15 phút / yêu cầu giải captcha trước khi thử lại (BR-18, FR12)</t>
        </is>
      </c>
      <c r="H13" s="42" t="inlineStr">
        <is>
          <t>High</t>
        </is>
      </c>
    </row>
    <row r="14" ht="54" customHeight="1">
      <c r="A14" s="43" t="inlineStr">
        <is>
          <t>TC-AUTH-010</t>
        </is>
      </c>
      <c r="B14" s="40" t="inlineStr">
        <is>
          <t>Đăng nhập hệ thống</t>
        </is>
      </c>
      <c r="C14" s="40" t="inlineStr">
        <is>
          <t>Bảo mật: Password được mask và không lộ trong response API</t>
        </is>
      </c>
      <c r="D14" s="40" t="inlineStr">
        <is>
          <t>Đang ở màn hình Login / sử dụng API Auth</t>
        </is>
      </c>
      <c r="E14" s="40" t="inlineStr">
        <is>
          <t>1. Nhập mật khẩu vào ô input trên giao diện
2. Kiểm tra hiển thị
3. Kiểm tra payload response từ API /auth/login</t>
        </is>
      </c>
      <c r="F14" s="40" t="inlineStr">
        <is>
          <t>Password: Password@123</t>
        </is>
      </c>
      <c r="G14" s="40" t="inlineStr">
        <is>
          <t>Ký tự mật khẩu hiển thị dạng dấu sao (***); response API chỉ trả về token/profile, tuyệt đối không trả về password plaintext hay hash</t>
        </is>
      </c>
      <c r="H14" s="42" t="inlineStr">
        <is>
          <t>High</t>
        </is>
      </c>
    </row>
    <row r="15" ht="54" customHeight="1">
      <c r="A15" s="41" t="inlineStr">
        <is>
          <t>TC-AUTH-011</t>
        </is>
      </c>
      <c r="B15" s="38" t="inlineStr">
        <is>
          <t>Quản lý thông tin cá nhân</t>
        </is>
      </c>
      <c r="C15" s="38" t="inlineStr">
        <is>
          <t>Khách hàng cập nhật Họ tên và Email thành công</t>
        </is>
      </c>
      <c r="D15" s="38" t="inlineStr">
        <is>
          <t>Khách hàng đã đăng nhập vào hệ thống</t>
        </is>
      </c>
      <c r="E15" s="38" t="inlineStr">
        <is>
          <t>1. Vào mục 'Tài khoản' -&gt; 'Chỉnh sửa hồ sơ'
2. Sửa họ tên và email mới hợp lệ
3. Nhấn 'Lưu thay đổi'</t>
        </is>
      </c>
      <c r="F15" s="38" t="inlineStr">
        <is>
          <t>Họ tên mới: Nguyễn Văn An Bình
Email mới: anbinh.nguyen@example.com</t>
        </is>
      </c>
      <c r="G15" s="38" t="inlineStr">
        <is>
          <t>Thông tin được cập nhật vào CSDL; hệ thống hiển thị thông báo 'Cập nhật thông tin thành công'</t>
        </is>
      </c>
      <c r="H15" s="44" t="inlineStr">
        <is>
          <t>Medium</t>
        </is>
      </c>
    </row>
    <row r="16" ht="38" customHeight="1">
      <c r="A16" s="43" t="inlineStr">
        <is>
          <t>TC-AUTH-012</t>
        </is>
      </c>
      <c r="B16" s="40" t="inlineStr">
        <is>
          <t>Quản lý thông tin cá nhân</t>
        </is>
      </c>
      <c r="C16" s="40" t="inlineStr">
        <is>
          <t>Cập nhật email với định dạng không hợp lệ</t>
        </is>
      </c>
      <c r="D16" s="40" t="inlineStr">
        <is>
          <t>Khách hàng đang ở màn hình Chỉnh sửa hồ sơ</t>
        </is>
      </c>
      <c r="E16" s="40" t="inlineStr">
        <is>
          <t>1. Nhập email sai định dạng (thiếu @ hoặc domain)
2. Nhấn 'Lưu'</t>
        </is>
      </c>
      <c r="F16" s="40" t="inlineStr">
        <is>
          <t>Email: an.nguyen_invalid_email</t>
        </is>
      </c>
      <c r="G16" s="40" t="inlineStr">
        <is>
          <t>Hệ thống báo lỗi validation 'Email không hợp lệ'; không lưu thay đổi vào CSDL</t>
        </is>
      </c>
      <c r="H16" s="45" t="inlineStr">
        <is>
          <t>Low</t>
        </is>
      </c>
    </row>
    <row r="17" ht="38" customHeight="1">
      <c r="A17" s="41" t="inlineStr">
        <is>
          <t>TC-AUTH-013</t>
        </is>
      </c>
      <c r="B17" s="38" t="inlineStr">
        <is>
          <t>Phân quyền và Xác thực</t>
        </is>
      </c>
      <c r="C17" s="38" t="inlineStr">
        <is>
          <t>Truy cập API yêu cầu xác thực khi token đã hết hạn</t>
        </is>
      </c>
      <c r="D17" s="38" t="inlineStr">
        <is>
          <t>Phiên đăng nhập đã hết hạn (Access Token expired)</t>
        </is>
      </c>
      <c r="E17" s="38" t="inlineStr">
        <is>
          <t>1. Gửi request lấy thông tin hồ sơ hoặc đặt xe kèm Token cũ</t>
        </is>
      </c>
      <c r="F17" s="38" t="inlineStr">
        <is>
          <t>Header: Authorization: Bearer &lt;expired_token&gt;</t>
        </is>
      </c>
      <c r="G17" s="38" t="inlineStr">
        <is>
          <t>Hệ thống trả về HTTP 401 Unauthorized; ứng dụng điều hướng người dùng về màn hình Đăng nhập</t>
        </is>
      </c>
      <c r="H17" s="42"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showGridLines="1" workbookViewId="0">
      <pane ySplit="4" topLeftCell="A5" activePane="bottomLeft" state="frozen"/>
      <selection pane="bottomLeft" activeCell="A1" sqref="A1"/>
    </sheetView>
  </sheetViews>
  <sheetFormatPr baseColWidth="8" defaultRowHeight="15"/>
  <cols>
    <col width="15" customWidth="1" min="1" max="1"/>
    <col width="22" customWidth="1" min="2" max="2"/>
    <col width="28" customWidth="1" min="3" max="3"/>
    <col width="25" customWidth="1" min="4" max="4"/>
    <col width="36" customWidth="1" min="5" max="5"/>
    <col width="26" customWidth="1" min="6" max="6"/>
    <col width="38" customWidth="1" min="7" max="7"/>
    <col width="12" customWidth="1" min="8" max="8"/>
  </cols>
  <sheetData>
    <row r="1">
      <c r="A1" s="36" t="inlineStr">
        <is>
          <t>BẢNG KIỂM THỬ: 2. DRIVER &amp; VEHICLE</t>
        </is>
      </c>
    </row>
    <row r="2">
      <c r="A2" s="3" t="inlineStr">
        <is>
          <t>Kiểm thử Quản lý hồ sơ tài xế, Thông tin phương tiện, Trạng thái sẵn sàng và GPS (FR03, FR13)</t>
        </is>
      </c>
    </row>
    <row r="4" ht="28" customHeight="1">
      <c r="A4" s="8" t="inlineStr">
        <is>
          <t>Test Case ID</t>
        </is>
      </c>
      <c r="B4" s="8" t="inlineStr">
        <is>
          <t>Test Scenario</t>
        </is>
      </c>
      <c r="C4" s="8" t="inlineStr">
        <is>
          <t>Test Case</t>
        </is>
      </c>
      <c r="D4" s="8" t="inlineStr">
        <is>
          <t>Preconditions</t>
        </is>
      </c>
      <c r="E4" s="8" t="inlineStr">
        <is>
          <t>Test Steps</t>
        </is>
      </c>
      <c r="F4" s="8" t="inlineStr">
        <is>
          <t>Test Data</t>
        </is>
      </c>
      <c r="G4" s="8" t="inlineStr">
        <is>
          <t>Expected Result</t>
        </is>
      </c>
      <c r="H4" s="8" t="inlineStr">
        <is>
          <t>Priority</t>
        </is>
      </c>
    </row>
    <row r="5" ht="38" customHeight="1">
      <c r="A5" s="41" t="inlineStr">
        <is>
          <t>TC-DRV-001</t>
        </is>
      </c>
      <c r="B5" s="38" t="inlineStr">
        <is>
          <t>Cập nhật trạng thái Tài xế</t>
        </is>
      </c>
      <c r="C5" s="38" t="inlineStr">
        <is>
          <t>Tài xế bật trạng thái 'Sẵn sàng' (Online) để nhận chuyến</t>
        </is>
      </c>
      <c r="D5" s="38" t="inlineStr">
        <is>
          <t>Tài xế đã đăng nhập, xe đã được duyệt, GPS đang bật</t>
        </is>
      </c>
      <c r="E5" s="38" t="inlineStr">
        <is>
          <t>1. Mở ứng dụng Tài xế
2. Gạt nút chuyển trạng thái sang 'Trực tuyến' (Online)</t>
        </is>
      </c>
      <c r="F5" s="38" t="inlineStr">
        <is>
          <t>Tài xế: DRV001
Trạng thái mong muốn: Online/Available</t>
        </is>
      </c>
      <c r="G5" s="38" t="inlineStr">
        <is>
          <t>Hệ thống cập nhật trạng thái tài xế sang 'Available' (BR-03); tài xế xuất hiện trong danh sách có thể nhận cuốc</t>
        </is>
      </c>
      <c r="H5" s="42" t="inlineStr">
        <is>
          <t>High</t>
        </is>
      </c>
    </row>
    <row r="6" ht="38" customHeight="1">
      <c r="A6" s="43" t="inlineStr">
        <is>
          <t>TC-DRV-002</t>
        </is>
      </c>
      <c r="B6" s="40" t="inlineStr">
        <is>
          <t>Cập nhật trạng thái Tài xế</t>
        </is>
      </c>
      <c r="C6" s="40" t="inlineStr">
        <is>
          <t>Tài xế tắt trạng thái sẵn sàng sang 'Nghỉ' (Offline)</t>
        </is>
      </c>
      <c r="D6" s="40" t="inlineStr">
        <is>
          <t>Tài xế đang ở trạng thái Online và không có chuyến đi dở dang</t>
        </is>
      </c>
      <c r="E6" s="40" t="inlineStr">
        <is>
          <t>1. Gạt nút trạng thái sang 'Ngoại tuyến' (Offline)</t>
        </is>
      </c>
      <c r="F6" s="40" t="inlineStr">
        <is>
          <t>Tài xế: DRV001
Trạng thái mong muốn: Offline</t>
        </is>
      </c>
      <c r="G6" s="40" t="inlineStr">
        <is>
          <t>Hệ thống chuyển trạng thái tài xế sang Offline; hệ thống ngừng điều phối cuốc mới cho tài xế này (BR-03)</t>
        </is>
      </c>
      <c r="H6" s="42" t="inlineStr">
        <is>
          <t>High</t>
        </is>
      </c>
    </row>
    <row r="7" ht="38" customHeight="1">
      <c r="A7" s="41" t="inlineStr">
        <is>
          <t>TC-DRV-003</t>
        </is>
      </c>
      <c r="B7" s="38" t="inlineStr">
        <is>
          <t>Cập nhật trạng thái Tài xế</t>
        </is>
      </c>
      <c r="C7" s="38" t="inlineStr">
        <is>
          <t>Ngăn chặn Online khi tài xế chưa được duyệt hồ sơ phương tiện</t>
        </is>
      </c>
      <c r="D7" s="38" t="inlineStr">
        <is>
          <t>Tài xế mới đăng ký, phương tiện đang ở trạng thái 'Pending_Approval'</t>
        </is>
      </c>
      <c r="E7" s="38" t="inlineStr">
        <is>
          <t>1. Tài xế đăng nhập
2. Cố gắng gạt nút 'Trực tuyến'</t>
        </is>
      </c>
      <c r="F7" s="38" t="inlineStr">
        <is>
          <t>Tài xế: DRV005
Trạng thái xe: Chưa duyệt</t>
        </is>
      </c>
      <c r="G7" s="38" t="inlineStr">
        <is>
          <t>Hệ thống ngăn không cho Online và hiển thị cảnh báo 'Hồ sơ phương tiện của bạn đang chờ phê duyệt'</t>
        </is>
      </c>
      <c r="H7" s="42" t="inlineStr">
        <is>
          <t>High</t>
        </is>
      </c>
    </row>
    <row r="8" ht="90" customHeight="1">
      <c r="A8" s="43" t="inlineStr">
        <is>
          <t>TC-DRV-004</t>
        </is>
      </c>
      <c r="B8" s="40" t="inlineStr">
        <is>
          <t>Quản lý phương tiện</t>
        </is>
      </c>
      <c r="C8" s="40" t="inlineStr">
        <is>
          <t>Đăng ký thông tin phương tiện mới (Xe 4 chỗ, 7 chỗ)</t>
        </is>
      </c>
      <c r="D8" s="40" t="inlineStr">
        <is>
          <t>Tài xế hoặc nhân viên vận hành thêm phương tiện cho tài xế</t>
        </is>
      </c>
      <c r="E8" s="40" t="inlineStr">
        <is>
          <t>1. Vào mục 'Quản lý phương tiện'
2. Nhập Biển số, Hãng xe, Dòng xe, Màu sắc, Số chỗ
3. Tải ảnh đăng kiểm
4. Nhấn 'Lưu'</t>
        </is>
      </c>
      <c r="F8" s="40" t="inlineStr">
        <is>
          <t>Biển số: 51H-987.65
Hãng: Toyota Vios
Màu: Trắng
Số chỗ: 4 chỗ
Loại: Car_4S</t>
        </is>
      </c>
      <c r="G8" s="40" t="inlineStr">
        <is>
          <t>Thông tin phương tiện được lưu vào CSDL liên kết với tài xế; chuyển trạng thái chờ duyệt (FR03.2)</t>
        </is>
      </c>
      <c r="H8" s="42" t="inlineStr">
        <is>
          <t>High</t>
        </is>
      </c>
    </row>
    <row r="9" ht="54" customHeight="1">
      <c r="A9" s="41" t="inlineStr">
        <is>
          <t>TC-DRV-005</t>
        </is>
      </c>
      <c r="B9" s="38" t="inlineStr">
        <is>
          <t>Quản lý phương tiện</t>
        </is>
      </c>
      <c r="C9" s="38" t="inlineStr">
        <is>
          <t>Kiểm tra trùng lặp biển số xe trong hệ thống</t>
        </is>
      </c>
      <c r="D9" s="38" t="inlineStr">
        <is>
          <t>Biển số 51H-987.65 đã tồn tại trong hệ thống</t>
        </is>
      </c>
      <c r="E9" s="38" t="inlineStr">
        <is>
          <t>1. Thêm phương tiện mới
2. Nhập biển số 51H-987.65
3. Nhấn 'Lưu'</t>
        </is>
      </c>
      <c r="F9" s="38" t="inlineStr">
        <is>
          <t>Biển số: 51H-987.65</t>
        </is>
      </c>
      <c r="G9" s="38" t="inlineStr">
        <is>
          <t>Hệ thống từ chối lưu và hiển thị thông báo lỗi 'Biển số xe đã được đăng ký bởi tài xế khác'</t>
        </is>
      </c>
      <c r="H9" s="44" t="inlineStr">
        <is>
          <t>Medium</t>
        </is>
      </c>
    </row>
    <row r="10" ht="38" customHeight="1">
      <c r="A10" s="43" t="inlineStr">
        <is>
          <t>TC-DRV-006</t>
        </is>
      </c>
      <c r="B10" s="40" t="inlineStr">
        <is>
          <t>Quản lý vị trí Tài xế</t>
        </is>
      </c>
      <c r="C10" s="40" t="inlineStr">
        <is>
          <t>Cập nhật tọa độ GPS tài xế theo thời gian thực (Ping 10s)</t>
        </is>
      </c>
      <c r="D10" s="40" t="inlineStr">
        <is>
          <t>Tài xế đang Online trên đường</t>
        </is>
      </c>
      <c r="E10" s="40" t="inlineStr">
        <is>
          <t>1. Thiết bị tài xế tự động gửi bản tin vị trí GPS định kỳ lên hệ thống (FR13.1)</t>
        </is>
      </c>
      <c r="F10" s="40" t="inlineStr">
        <is>
          <t>Payload: {driver_id: 'DRV001', lat: 10.7769, lng: 106.7009, timestamp: 1773570000}</t>
        </is>
      </c>
      <c r="G10" s="40" t="inlineStr">
        <is>
          <t>Hệ thống cập nhật vị trí mới nhất của tài xế trên bản đồ điều phối; lưu vết phục vụ tính ETA và phân bổ cuốc</t>
        </is>
      </c>
      <c r="H10" s="42" t="inlineStr">
        <is>
          <t>High</t>
        </is>
      </c>
    </row>
    <row r="11" ht="38" customHeight="1">
      <c r="A11" s="41" t="inlineStr">
        <is>
          <t>TC-DRV-007</t>
        </is>
      </c>
      <c r="B11" s="38" t="inlineStr">
        <is>
          <t>Quản lý vị trí Tài xế</t>
        </is>
      </c>
      <c r="C11" s="38" t="inlineStr">
        <is>
          <t>Tự động chuyển Offline khi mất tín hiệu GPS quá thời gian quy định</t>
        </is>
      </c>
      <c r="D11" s="38" t="inlineStr">
        <is>
          <t>Tài xế đang Online nhưng mất kết nối mạng hoặc tắt GPS quá 3 phút</t>
        </is>
      </c>
      <c r="E11" s="38" t="inlineStr">
        <is>
          <t>1. Thiết bị ngừng gửi ping vị trí GPS quá 180s
2. Hệ thống chạy worker kiểm tra sức khỏe kết nối</t>
        </is>
      </c>
      <c r="F11" s="38" t="inlineStr">
        <is>
          <t>Tài xế: DRV001
Không có GPS ping trong 180 giây</t>
        </is>
      </c>
      <c r="G11" s="38" t="inlineStr">
        <is>
          <t>Hệ thống tự động chuyển trạng thái tài xế sang 'Inactive/Offline' để tránh điều phối chuyến không khả dụng</t>
        </is>
      </c>
      <c r="H11" s="44"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showGridLines="1" workbookViewId="0">
      <pane ySplit="4" topLeftCell="A5" activePane="bottomLeft" state="frozen"/>
      <selection pane="bottomLeft" activeCell="A1" sqref="A1"/>
    </sheetView>
  </sheetViews>
  <sheetFormatPr baseColWidth="8" defaultRowHeight="15"/>
  <cols>
    <col width="15" customWidth="1" min="1" max="1"/>
    <col width="22" customWidth="1" min="2" max="2"/>
    <col width="28" customWidth="1" min="3" max="3"/>
    <col width="25" customWidth="1" min="4" max="4"/>
    <col width="36" customWidth="1" min="5" max="5"/>
    <col width="26" customWidth="1" min="6" max="6"/>
    <col width="38" customWidth="1" min="7" max="7"/>
    <col width="12" customWidth="1" min="8" max="8"/>
  </cols>
  <sheetData>
    <row r="1">
      <c r="A1" s="36" t="inlineStr">
        <is>
          <t>BẢNG KIỂM THỬ: 3. RIDE BOOKING</t>
        </is>
      </c>
    </row>
    <row r="2">
      <c r="A2" s="3" t="inlineStr">
        <is>
          <t>Kiểm thử Đặt xe, Chọn loại xe, Tính cước dự kiến, Hủy yêu cầu đặt xe (FR04, FR13)</t>
        </is>
      </c>
    </row>
    <row r="4" ht="28" customHeight="1">
      <c r="A4" s="8" t="inlineStr">
        <is>
          <t>Test Case ID</t>
        </is>
      </c>
      <c r="B4" s="8" t="inlineStr">
        <is>
          <t>Test Scenario</t>
        </is>
      </c>
      <c r="C4" s="8" t="inlineStr">
        <is>
          <t>Test Case</t>
        </is>
      </c>
      <c r="D4" s="8" t="inlineStr">
        <is>
          <t>Preconditions</t>
        </is>
      </c>
      <c r="E4" s="8" t="inlineStr">
        <is>
          <t>Test Steps</t>
        </is>
      </c>
      <c r="F4" s="8" t="inlineStr">
        <is>
          <t>Test Data</t>
        </is>
      </c>
      <c r="G4" s="8" t="inlineStr">
        <is>
          <t>Expected Result</t>
        </is>
      </c>
      <c r="H4" s="8" t="inlineStr">
        <is>
          <t>Priority</t>
        </is>
      </c>
    </row>
    <row r="5" ht="90" customHeight="1">
      <c r="A5" s="41" t="inlineStr">
        <is>
          <t>TC-BOOK-001</t>
        </is>
      </c>
      <c r="B5" s="38" t="inlineStr">
        <is>
          <t>Tạo yêu cầu đặt xe</t>
        </is>
      </c>
      <c r="C5" s="38" t="inlineStr">
        <is>
          <t>Đặt xe thành công với điểm đón, điểm đến và loại xe hợp lệ</t>
        </is>
      </c>
      <c r="D5" s="38" t="inlineStr">
        <is>
          <t>Khách hàng đã đăng nhập, có số dư/tiền mặt, đang ở màn hình Đặt xe (FR04)</t>
        </is>
      </c>
      <c r="E5" s="38" t="inlineStr">
        <is>
          <t>1. Nhập điểm đón (hoặc định vị vị trí hiện tại)
2. Nhập điểm đến hợp lệ
3. Chọn loại xe 'Car 4 Chỗ'
4. Xem giá cước ước tính
5. Nhấn nút 'Đặt xe'</t>
        </is>
      </c>
      <c r="F5" s="38" t="inlineStr">
        <is>
          <t>Điểm đón: Bitexco Tower, Q1 (10.7716, 106.7044)
Điểm đến: Sân bay Tân Sơn Nhất (10.8185, 106.6588)
Loại xe: Car_4S</t>
        </is>
      </c>
      <c r="G5" s="38" t="inlineStr">
        <is>
          <t>Yêu cầu được tạo thành công; hệ thống tạo chuyến đi với trạng thái 'Searching' (Đang tìm tài xế); hiển thị màn hình radar tìm kiếm</t>
        </is>
      </c>
      <c r="H5" s="42" t="inlineStr">
        <is>
          <t>High</t>
        </is>
      </c>
    </row>
    <row r="6" ht="38" customHeight="1">
      <c r="A6" s="43" t="inlineStr">
        <is>
          <t>TC-BOOK-002</t>
        </is>
      </c>
      <c r="B6" s="40" t="inlineStr">
        <is>
          <t>Tạo yêu cầu đặt xe</t>
        </is>
      </c>
      <c r="C6" s="40" t="inlineStr">
        <is>
          <t>Chọn các loại xe khác nhau (Car 4 chỗ, Car 7 chỗ)</t>
        </is>
      </c>
      <c r="D6" s="40" t="inlineStr">
        <is>
          <t>Khách hàng đã chọn điểm đón và điểm đến</t>
        </is>
      </c>
      <c r="E6" s="40" t="inlineStr">
        <is>
          <t>1. Chuyển đổi giữa các tùy chọn: Xe 4 chỗ và Xe 7 chỗ
2. Quan sát cước ước tính và thời gian đón dự kiến tương ứng</t>
        </is>
      </c>
      <c r="F6" s="40" t="inlineStr">
        <is>
          <t>Tùy chọn: Car_4S (ước tính 120.000đ) vs Car_7S (ước tính 160.000đ)</t>
        </is>
      </c>
      <c r="G6" s="40" t="inlineStr">
        <is>
          <t>Hệ thống cập nhật đúng giá tiền ước tính và icon phương tiện theo từng loại xe được chọn</t>
        </is>
      </c>
      <c r="H6" s="42" t="inlineStr">
        <is>
          <t>High</t>
        </is>
      </c>
    </row>
    <row r="7" ht="54" customHeight="1">
      <c r="A7" s="41" t="inlineStr">
        <is>
          <t>TC-BOOK-003</t>
        </is>
      </c>
      <c r="B7" s="38" t="inlineStr">
        <is>
          <t>Validation Đặt xe</t>
        </is>
      </c>
      <c r="C7" s="38" t="inlineStr">
        <is>
          <t>Điểm đón và Điểm đến trùng nhau</t>
        </is>
      </c>
      <c r="D7" s="38" t="inlineStr">
        <is>
          <t>Đang ở màn hình nhập địa chỉ</t>
        </is>
      </c>
      <c r="E7" s="38" t="inlineStr">
        <is>
          <t>1. Chọn điểm đón: 123 Lê Lợi, Q1
2. Chọn điểm đến: 123 Lê Lợi, Q1
3. Nhấn 'Tiếp tục'</t>
        </is>
      </c>
      <c r="F7" s="38" t="inlineStr">
        <is>
          <t>Điểm đón = Điểm đến = 123 Lê Lợi, Q1</t>
        </is>
      </c>
      <c r="G7" s="38" t="inlineStr">
        <is>
          <t>Hệ thống cảnh báo lỗi: 'Điểm đến không được trùng với điểm đón'; nút Đặt xe bị vô hiệu hóa</t>
        </is>
      </c>
      <c r="H7" s="44" t="inlineStr">
        <is>
          <t>Medium</t>
        </is>
      </c>
    </row>
    <row r="8" ht="38" customHeight="1">
      <c r="A8" s="43" t="inlineStr">
        <is>
          <t>TC-BOOK-004</t>
        </is>
      </c>
      <c r="B8" s="40" t="inlineStr">
        <is>
          <t>Validation Đặt xe</t>
        </is>
      </c>
      <c r="C8" s="40" t="inlineStr">
        <is>
          <t>Để trống điểm đón hoặc điểm đến</t>
        </is>
      </c>
      <c r="D8" s="40" t="inlineStr">
        <is>
          <t>Đang ở màn hình đặt xe</t>
        </is>
      </c>
      <c r="E8" s="40" t="inlineStr">
        <is>
          <t>1. Chỉ nhập điểm đón, bỏ trống điểm đến
2. Cố gắng bấm nút 'Đặt xe'</t>
        </is>
      </c>
      <c r="F8" s="40" t="inlineStr">
        <is>
          <t>Điểm đón: Chợ Bến Thành
Điểm đến: (trống)</t>
        </is>
      </c>
      <c r="G8" s="40" t="inlineStr">
        <is>
          <t>Hệ thống không cho phép đặt xe; hiển thị tooltip 'Vui lòng nhập điểm đến'</t>
        </is>
      </c>
      <c r="H8" s="44" t="inlineStr">
        <is>
          <t>Medium</t>
        </is>
      </c>
    </row>
    <row r="9" ht="38" customHeight="1">
      <c r="A9" s="41" t="inlineStr">
        <is>
          <t>TC-BOOK-005</t>
        </is>
      </c>
      <c r="B9" s="38" t="inlineStr">
        <is>
          <t>Validation Đặt xe</t>
        </is>
      </c>
      <c r="C9" s="38" t="inlineStr">
        <is>
          <t>Đặt xe ngoài phạm vi phục vụ của hệ thống</t>
        </is>
      </c>
      <c r="D9" s="38" t="inlineStr">
        <is>
          <t>Khách hàng chọn vị trí cách xa trung tâm ngoài bán kính vận hành</t>
        </is>
      </c>
      <c r="E9" s="38" t="inlineStr">
        <is>
          <t>1. Nhập điểm đón hoặc điểm đến cách xa thành phố (ví dụ: tỉnh khác ngoài vùng hỗ trợ)</t>
        </is>
      </c>
      <c r="F9" s="38" t="inlineStr">
        <is>
          <t>Điểm đón: TP.HCM
Điểm đến: Hà Nội (khoảng cách &gt; 1000km)</t>
        </is>
      </c>
      <c r="G9" s="38" t="inlineStr">
        <is>
          <t>Hệ thống cảnh báo 'Khoảng cách vượt quá phạm vi phục vụ cho phép của dịch vụ CAB System'</t>
        </is>
      </c>
      <c r="H9" s="45" t="inlineStr">
        <is>
          <t>Low</t>
        </is>
      </c>
    </row>
    <row r="10" ht="54" customHeight="1">
      <c r="A10" s="43" t="inlineStr">
        <is>
          <t>TC-BOOK-006</t>
        </is>
      </c>
      <c r="B10" s="40" t="inlineStr">
        <is>
          <t>Hủy yêu cầu đặt xe</t>
        </is>
      </c>
      <c r="C10" s="40" t="inlineStr">
        <is>
          <t>Khách hàng hủy chuyến khi hệ thống đang tìm tài xế ('Searching')</t>
        </is>
      </c>
      <c r="D10" s="40" t="inlineStr">
        <is>
          <t>Chuyến đi đang ở trạng thái 'Searching', chưa có tài xế nào nhận chuyến</t>
        </is>
      </c>
      <c r="E10" s="40" t="inlineStr">
        <is>
          <t>1. Khách hàng nhấn nút 'Hủy tìm kiếm' trên màn hình radar
2. Chọn lý do hủy (Đổi ý, đặt nhầm...)
3. Xác nhận hủy</t>
        </is>
      </c>
      <c r="F10" s="40" t="inlineStr">
        <is>
          <t>Mã chuyến: TRIP001
Trạng thái hiện tại: Searching</t>
        </is>
      </c>
      <c r="G10" s="40" t="inlineStr">
        <is>
          <t>Hệ thống hủy yêu cầu ngay lập tức; trạng thái chuyến chuyển sang 'Cancelled'; không phát sinh phí hủy (FR04.4)</t>
        </is>
      </c>
      <c r="H10" s="42" t="inlineStr">
        <is>
          <t>High</t>
        </is>
      </c>
    </row>
    <row r="11" ht="38" customHeight="1">
      <c r="A11" s="41" t="inlineStr">
        <is>
          <t>TC-BOOK-007</t>
        </is>
      </c>
      <c r="B11" s="38" t="inlineStr">
        <is>
          <t>Theo dõi yêu cầu đặt xe</t>
        </is>
      </c>
      <c r="C11" s="38" t="inlineStr">
        <is>
          <t>Giao diện cập nhật thời gian thực khi trạng thái chuyến thay đổi</t>
        </is>
      </c>
      <c r="D11" s="38" t="inlineStr">
        <is>
          <t>Khách hàng vừa gửi yêu cầu đặt xe</t>
        </is>
      </c>
      <c r="E11" s="38" t="inlineStr">
        <is>
          <t>1. Giữ màn hình ứng dụng mở trong quá trình hệ thống tìm kiếm và tài xế nhận cuốc</t>
        </is>
      </c>
      <c r="F11" s="38" t="inlineStr">
        <is>
          <t>Mã chuyến: TRIP001</t>
        </is>
      </c>
      <c r="G11" s="38" t="inlineStr">
        <is>
          <t>Màn hình tự động chuyển từ 'Đang tìm tài xế' sang 'Đã có tài xế nhận' kèm thông tin tài xế, biển số xe và ETA mà không cần tải lại trang</t>
        </is>
      </c>
      <c r="H11" s="42" t="inlineStr">
        <is>
          <t>High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showGridLines="1" workbookViewId="0">
      <pane ySplit="4" topLeftCell="A5" activePane="bottomLeft" state="frozen"/>
      <selection pane="bottomLeft" activeCell="A1" sqref="A1"/>
    </sheetView>
  </sheetViews>
  <sheetFormatPr baseColWidth="8" defaultRowHeight="15"/>
  <cols>
    <col width="15" customWidth="1" min="1" max="1"/>
    <col width="22" customWidth="1" min="2" max="2"/>
    <col width="28" customWidth="1" min="3" max="3"/>
    <col width="25" customWidth="1" min="4" max="4"/>
    <col width="36" customWidth="1" min="5" max="5"/>
    <col width="26" customWidth="1" min="6" max="6"/>
    <col width="38" customWidth="1" min="7" max="7"/>
    <col width="12" customWidth="1" min="8" max="8"/>
  </cols>
  <sheetData>
    <row r="1">
      <c r="A1" s="36" t="inlineStr">
        <is>
          <t>BẢNG KIỂM THỬ: 4. DRIVER MATCHING</t>
        </is>
      </c>
    </row>
    <row r="2">
      <c r="A2" s="3" t="inlineStr">
        <is>
          <t>Kiểm thử Tìm và phân công tài xế, Ưu tiên tài xế gần, Xử lý từ chối/timeout (FR05, BR-03 đến BR-08)</t>
        </is>
      </c>
    </row>
    <row r="4" ht="28" customHeight="1">
      <c r="A4" s="8" t="inlineStr">
        <is>
          <t>Test Case ID</t>
        </is>
      </c>
      <c r="B4" s="8" t="inlineStr">
        <is>
          <t>Test Scenario</t>
        </is>
      </c>
      <c r="C4" s="8" t="inlineStr">
        <is>
          <t>Test Case</t>
        </is>
      </c>
      <c r="D4" s="8" t="inlineStr">
        <is>
          <t>Preconditions</t>
        </is>
      </c>
      <c r="E4" s="8" t="inlineStr">
        <is>
          <t>Test Steps</t>
        </is>
      </c>
      <c r="F4" s="8" t="inlineStr">
        <is>
          <t>Test Data</t>
        </is>
      </c>
      <c r="G4" s="8" t="inlineStr">
        <is>
          <t>Expected Result</t>
        </is>
      </c>
      <c r="H4" s="8" t="inlineStr">
        <is>
          <t>Priority</t>
        </is>
      </c>
    </row>
    <row r="5" ht="54" customHeight="1">
      <c r="A5" s="41" t="inlineStr">
        <is>
          <t>TC-MATCH-001</t>
        </is>
      </c>
      <c r="B5" s="38" t="inlineStr">
        <is>
          <t>Tìm và phân công tài xế</t>
        </is>
      </c>
      <c r="C5" s="38" t="inlineStr">
        <is>
          <t>Hệ thống tự động tìm và gửi chuyến cho tài xế gần nhất đang Online</t>
        </is>
      </c>
      <c r="D5" s="38" t="inlineStr">
        <is>
          <t>Có yêu cầu đặt xe mới tại Q1; Tài xế A (cách 500m, Online, Car_4S), Tài xế B (cách 2km, Online, Car_4S)</t>
        </is>
      </c>
      <c r="E5" s="38" t="inlineStr">
        <is>
          <t>1. Khách hàng bấm Đặt xe Car_4S tại vị trí Q1
2. Hệ thống quét bán kính và áp dụng thuật toán ưu tiên (BR-04, BR-05)</t>
        </is>
      </c>
      <c r="F5" s="38" t="inlineStr">
        <is>
          <t>Vị trí khách: Bitexco Q1
Driver A: cách 500m
Driver B: cách 2km</t>
        </is>
      </c>
      <c r="G5" s="38" t="inlineStr">
        <is>
          <t>Hệ thống ưu tiên chọn Tài xế A gần nhất và gửi màn hình nhận cuốc (Dispatch alert) cho Tài xế A đầu tiên</t>
        </is>
      </c>
      <c r="H5" s="42" t="inlineStr">
        <is>
          <t>High</t>
        </is>
      </c>
    </row>
    <row r="6" ht="54" customHeight="1">
      <c r="A6" s="43" t="inlineStr">
        <is>
          <t>TC-MATCH-002</t>
        </is>
      </c>
      <c r="B6" s="40" t="inlineStr">
        <is>
          <t>Tìm và phân công tài xế</t>
        </is>
      </c>
      <c r="C6" s="40" t="inlineStr">
        <is>
          <t>Tài xế chấp nhận cuốc xe trong thời gian quy định</t>
        </is>
      </c>
      <c r="D6" s="40" t="inlineStr">
        <is>
          <t>Hệ thống vừa gửi yêu cầu cuốc xe đến điện thoại Tài xế A; đồng hồ đếm ngược 15 giây đang chạy</t>
        </is>
      </c>
      <c r="E6" s="40" t="inlineStr">
        <is>
          <t>1. Tài xế nhấn nút 'Nhận chuyến' (Accept) trong vòng 10 giây</t>
        </is>
      </c>
      <c r="F6" s="40" t="inlineStr">
        <is>
          <t>Chuyến: TRIP002
Tài xế: DRV001
Thời gian phản hồi: 8s</t>
        </is>
      </c>
      <c r="G6" s="40" t="inlineStr">
        <is>
          <t>Chuyến xe chuyển từ 'Searching' sang 'Assigned'; gán Driver_id = DRV001; trạng thái tài xế chuyển sang 'Busy'; thông báo cho khách hàng (BR-06)</t>
        </is>
      </c>
      <c r="H6" s="42" t="inlineStr">
        <is>
          <t>High</t>
        </is>
      </c>
    </row>
    <row r="7" ht="38" customHeight="1">
      <c r="A7" s="41" t="inlineStr">
        <is>
          <t>TC-MATCH-003</t>
        </is>
      </c>
      <c r="B7" s="38" t="inlineStr">
        <is>
          <t>Xử lý từ chối chuyến</t>
        </is>
      </c>
      <c r="C7" s="38" t="inlineStr">
        <is>
          <t>Tài xế từ chối cuốc xe (Reject) -&gt; Hệ thống tự động chuyển cho tài xế kế tiếp</t>
        </is>
      </c>
      <c r="D7" s="38" t="inlineStr">
        <is>
          <t>Tài xế A (gần nhất) nhận được cuốc; Tài xế B (gần thứ nhì) cũng đang Online và phù hợp</t>
        </is>
      </c>
      <c r="E7" s="38" t="inlineStr">
        <is>
          <t>1. Tài xế A nhấn nút 'Từ chối' (Reject)
2. Hệ thống ghi nhận từ chối và tìm tài xế tiếp theo (BR-06, FR05.5)</t>
        </is>
      </c>
      <c r="F7" s="38" t="inlineStr">
        <is>
          <t>Chuyến: TRIP002
Tài xế A: Reject</t>
        </is>
      </c>
      <c r="G7" s="38" t="inlineStr">
        <is>
          <t>Hệ thống ngay lập tức chuyển yêu cầu chuyến sang Tài xế B; màn hình của khách hàng vẫn hiển thị đang tìm kiếm; Tài xế A không bị gửi lại cùng cuốc này</t>
        </is>
      </c>
      <c r="H7" s="42" t="inlineStr">
        <is>
          <t>High</t>
        </is>
      </c>
    </row>
    <row r="8" ht="38" customHeight="1">
      <c r="A8" s="43" t="inlineStr">
        <is>
          <t>TC-MATCH-004</t>
        </is>
      </c>
      <c r="B8" s="40" t="inlineStr">
        <is>
          <t>Xử lý tài xế không phản hồi</t>
        </is>
      </c>
      <c r="C8" s="40" t="inlineStr">
        <is>
          <t>Tài xế hết thời gian phản hồi (Timeout 15s) -&gt; Tự động chuyển tài xế khác</t>
        </is>
      </c>
      <c r="D8" s="40" t="inlineStr">
        <is>
          <t>Tài xế A nhận được chuông báo cuốc xe nhưng không bấm nhận hay từ chối</t>
        </is>
      </c>
      <c r="E8" s="40" t="inlineStr">
        <is>
          <t>1. Đợi hết 15 giây đếm ngược
2. Hệ thống kiểm tra timeout (BR-07, FR05.4)</t>
        </is>
      </c>
      <c r="F8" s="40" t="inlineStr">
        <is>
          <t>Thời gian chờ: 15s
Hành động tài xế: Không thao tác</t>
        </is>
      </c>
      <c r="G8" s="40" t="inlineStr">
        <is>
          <t>Hệ thống tự động thu hồi cuốc từ Tài xế A; chuyển cuốc sang Tài xế B phù hợp kế tiếp; ghi nhận 1 lần miss trip của Tài xế A</t>
        </is>
      </c>
      <c r="H8" s="42" t="inlineStr">
        <is>
          <t>High</t>
        </is>
      </c>
    </row>
    <row r="9" ht="38" customHeight="1">
      <c r="A9" s="41" t="inlineStr">
        <is>
          <t>TC-MATCH-005</t>
        </is>
      </c>
      <c r="B9" s="38" t="inlineStr">
        <is>
          <t>Xử lý không tìm được tài xế</t>
        </is>
      </c>
      <c r="C9" s="38" t="inlineStr">
        <is>
          <t>Hết số lượt tìm kiếm / Không có tài xế nào trong bán kính quy định</t>
        </is>
      </c>
      <c r="D9" s="38" t="inlineStr">
        <is>
          <t>Tất cả tài xế trong khu vực đều Offline hoặc đã từ chối/hết timeout sau 3 vòng quét</t>
        </is>
      </c>
      <c r="E9" s="38" t="inlineStr">
        <is>
          <t>1. Hệ thống thực hiện quét tìm kiếm theo cấu hình vòng lặp
2. Không có tài xế nào nhận chuyến (BR-08, FR05.6)</t>
        </is>
      </c>
      <c r="F9" s="38" t="inlineStr">
        <is>
          <t>Bán kính: 5km
Số tài xế khả dụng: 0</t>
        </is>
      </c>
      <c r="G9" s="38" t="inlineStr">
        <is>
          <t>Hệ thống dừng tìm kiếm; chuyển trạng thái chuyến sang 'No_Driver_Found'; hiển thị thông báo rõ ràng cho khách: 'Rất tiếc hiện chưa có tài xế nào gần bạn, vui lòng thử lại sau'</t>
        </is>
      </c>
      <c r="H9" s="42" t="inlineStr">
        <is>
          <t>High</t>
        </is>
      </c>
    </row>
    <row r="10" ht="38" customHeight="1">
      <c r="A10" s="43" t="inlineStr">
        <is>
          <t>TC-MATCH-006</t>
        </is>
      </c>
      <c r="B10" s="40" t="inlineStr">
        <is>
          <t>Điều kiện lọc tài xế</t>
        </is>
      </c>
      <c r="C10" s="40" t="inlineStr">
        <is>
          <t>Chỉ chọn tài xế có loại xe phù hợp với yêu cầu đặt xe</t>
        </is>
      </c>
      <c r="D10" s="40" t="inlineStr">
        <is>
          <t>Khách hàng đặt xe 'Car 7 Chỗ'; quanh điểm đón có Tài xế X (Car 4 chỗ, cách 300m) và Tài xế Y (Car 7 chỗ, cách 1.5km)</t>
        </is>
      </c>
      <c r="E10" s="40" t="inlineStr">
        <is>
          <t>1. Khách hàng gửi yêu cầu Car_7S
2. Hệ thống lọc danh sách tài xế phù hợp (BR-04)</t>
        </is>
      </c>
      <c r="F10" s="40" t="inlineStr">
        <is>
          <t>Yêu cầu: Car_7S</t>
        </is>
      </c>
      <c r="G10" s="40" t="inlineStr">
        <is>
          <t>Hệ thống bỏ qua Tài xế X (do sai loại xe) và gửi yêu cầu chuyến trực tiếp cho Tài xế Y (xe 7 chỗ)</t>
        </is>
      </c>
      <c r="H10" s="42" t="inlineStr">
        <is>
          <t>High</t>
        </is>
      </c>
    </row>
    <row r="11" ht="38" customHeight="1">
      <c r="A11" s="41" t="inlineStr">
        <is>
          <t>TC-MATCH-007</t>
        </is>
      </c>
      <c r="B11" s="38" t="inlineStr">
        <is>
          <t>Điều kiện lọc tài xế</t>
        </is>
      </c>
      <c r="C11" s="38" t="inlineStr">
        <is>
          <t>Không điều phối cuốc mới cho tài xế đang thực hiện chuyến khác ('Busy')</t>
        </is>
      </c>
      <c r="D11" s="38" t="inlineStr">
        <is>
          <t>Tài xế C đang chở khách (trạng thái 'InProgress')</t>
        </is>
      </c>
      <c r="E11" s="38" t="inlineStr">
        <is>
          <t>1. Có cuốc xe mới cách vị trí hiện tại của Tài xế C chỉ 100m
2. Hệ thống quét tìm tài xế</t>
        </is>
      </c>
      <c r="F11" s="38" t="inlineStr">
        <is>
          <t>Tài xế C: Trạng thái = InProgress / Busy</t>
        </is>
      </c>
      <c r="G11" s="38" t="inlineStr">
        <is>
          <t>Hệ thống không gửi yêu cầu cho Tài xế C; tuân thủ quy tắc BR-03 (Chỉ tài xế đang ở trạng thái Sẵn sàng mới được nhận chuyến)</t>
        </is>
      </c>
      <c r="H11" s="42" t="inlineStr">
        <is>
          <t>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showGridLines="1" workbookViewId="0">
      <pane ySplit="4" topLeftCell="A5" activePane="bottomLeft" state="frozen"/>
      <selection pane="bottomLeft" activeCell="A1" sqref="A1"/>
    </sheetView>
  </sheetViews>
  <sheetFormatPr baseColWidth="8" defaultRowHeight="15"/>
  <cols>
    <col width="15" customWidth="1" min="1" max="1"/>
    <col width="22" customWidth="1" min="2" max="2"/>
    <col width="28" customWidth="1" min="3" max="3"/>
    <col width="25" customWidth="1" min="4" max="4"/>
    <col width="36" customWidth="1" min="5" max="5"/>
    <col width="26" customWidth="1" min="6" max="6"/>
    <col width="38" customWidth="1" min="7" max="7"/>
    <col width="12" customWidth="1" min="8" max="8"/>
  </cols>
  <sheetData>
    <row r="1">
      <c r="A1" s="36" t="inlineStr">
        <is>
          <t>BẢNG KIỂM THỬ: 5. TRIP MANAGEMENT</t>
        </is>
      </c>
    </row>
    <row r="2">
      <c r="A2" s="3" t="inlineStr">
        <is>
          <t>Kiểm thử Quy trình thực hiện chuyến đi theo máy trạng thái (Assigned -&gt; Arriving -&gt; Arrived -&gt; PickedUp -&gt; InProgress -&gt; Completed) (FR06)</t>
        </is>
      </c>
    </row>
    <row r="4" ht="28" customHeight="1">
      <c r="A4" s="8" t="inlineStr">
        <is>
          <t>Test Case ID</t>
        </is>
      </c>
      <c r="B4" s="8" t="inlineStr">
        <is>
          <t>Test Scenario</t>
        </is>
      </c>
      <c r="C4" s="8" t="inlineStr">
        <is>
          <t>Test Case</t>
        </is>
      </c>
      <c r="D4" s="8" t="inlineStr">
        <is>
          <t>Preconditions</t>
        </is>
      </c>
      <c r="E4" s="8" t="inlineStr">
        <is>
          <t>Test Steps</t>
        </is>
      </c>
      <c r="F4" s="8" t="inlineStr">
        <is>
          <t>Test Data</t>
        </is>
      </c>
      <c r="G4" s="8" t="inlineStr">
        <is>
          <t>Expected Result</t>
        </is>
      </c>
      <c r="H4" s="8" t="inlineStr">
        <is>
          <t>Priority</t>
        </is>
      </c>
    </row>
    <row r="5" ht="38" customHeight="1">
      <c r="A5" s="41" t="inlineStr">
        <is>
          <t>TC-TRIP-001</t>
        </is>
      </c>
      <c r="B5" s="38" t="inlineStr">
        <is>
          <t>Vòng đời chuyến đi</t>
        </is>
      </c>
      <c r="C5" s="38" t="inlineStr">
        <is>
          <t>Tài xế di chuyển đến điểm đón (Assigned -&gt; Arriving)</t>
        </is>
      </c>
      <c r="D5" s="38" t="inlineStr">
        <is>
          <t>Tài xế vừa bấm nhận chuyến (Trạng thái: Assigned)</t>
        </is>
      </c>
      <c r="E5" s="38" t="inlineStr">
        <is>
          <t>1. Tài xế xem đường đi trên bản đồ và bắt đầu di chuyển
2. Trạng thái tự động hoặc tài xế nhấn 'Đang đến điểm đón'</t>
        </is>
      </c>
      <c r="F5" s="38" t="inlineStr">
        <is>
          <t>Mã chuyến: TRIP101
Trạng thái mới: Arriving</t>
        </is>
      </c>
      <c r="G5" s="38" t="inlineStr">
        <is>
          <t>Trạng thái chuyển sang 'Arriving'; Khách hàng nhận thông báo kèm ETA dự kiến tài xế đến</t>
        </is>
      </c>
      <c r="H5" s="42" t="inlineStr">
        <is>
          <t>High</t>
        </is>
      </c>
    </row>
    <row r="6" ht="38" customHeight="1">
      <c r="A6" s="43" t="inlineStr">
        <is>
          <t>TC-TRIP-002</t>
        </is>
      </c>
      <c r="B6" s="40" t="inlineStr">
        <is>
          <t>Vòng đời chuyến đi</t>
        </is>
      </c>
      <c r="C6" s="40" t="inlineStr">
        <is>
          <t>Tài xế đến điểm đón (Arriving -&gt; Arrived)</t>
        </is>
      </c>
      <c r="D6" s="40" t="inlineStr">
        <is>
          <t>Tài xế đã đến đúng tọa độ điểm đón của khách hàng</t>
        </is>
      </c>
      <c r="E6" s="40" t="inlineStr">
        <is>
          <t>1. Tài xế nhấn nút 'Đã đến điểm đón' (Arrived) trên ứng dụng</t>
        </is>
      </c>
      <c r="F6" s="40" t="inlineStr">
        <is>
          <t>Mã chuyến: TRIP101
Trạng thái mới: Arrived</t>
        </is>
      </c>
      <c r="G6" s="40" t="inlineStr">
        <is>
          <t>Hệ thống cập nhật trạng thái 'Arrived'; gửi ngay thông báo Notification cho khách hàng: 'Tài xế đã đến điểm đón, vui lòng ra xe'</t>
        </is>
      </c>
      <c r="H6" s="42" t="inlineStr">
        <is>
          <t>High</t>
        </is>
      </c>
    </row>
    <row r="7" ht="38" customHeight="1">
      <c r="A7" s="41" t="inlineStr">
        <is>
          <t>TC-TRIP-003</t>
        </is>
      </c>
      <c r="B7" s="38" t="inlineStr">
        <is>
          <t>Vòng đời chuyến đi</t>
        </is>
      </c>
      <c r="C7" s="38" t="inlineStr">
        <is>
          <t>Tài xế đón khách thành công (Arrived -&gt; PickedUp)</t>
        </is>
      </c>
      <c r="D7" s="38" t="inlineStr">
        <is>
          <t>Khách hàng đã lên xe của tài xế</t>
        </is>
      </c>
      <c r="E7" s="38" t="inlineStr">
        <is>
          <t>1. Tài xế xác nhận khách đã lên xe
2. Nhấn nút 'Đã đón khách' (PickedUp)</t>
        </is>
      </c>
      <c r="F7" s="38" t="inlineStr">
        <is>
          <t>Mã chuyến: TRIP101
Trạng thái mới: PickedUp</t>
        </is>
      </c>
      <c r="G7" s="38" t="inlineStr">
        <is>
          <t>Hệ thống cập nhật trạng thái sang 'PickedUp'; chuẩn bị lộ trình di chuyển đến điểm đến</t>
        </is>
      </c>
      <c r="H7" s="42" t="inlineStr">
        <is>
          <t>High</t>
        </is>
      </c>
    </row>
    <row r="8" ht="38" customHeight="1">
      <c r="A8" s="43" t="inlineStr">
        <is>
          <t>TC-TRIP-004</t>
        </is>
      </c>
      <c r="B8" s="40" t="inlineStr">
        <is>
          <t>Vòng đời chuyến đi</t>
        </is>
      </c>
      <c r="C8" s="40" t="inlineStr">
        <is>
          <t>Bắt đầu di chuyển đến điểm đến (PickedUp -&gt; InProgress)</t>
        </is>
      </c>
      <c r="D8" s="40" t="inlineStr">
        <is>
          <t>Khách đã ngồi trên xe và thắt dây an toàn</t>
        </is>
      </c>
      <c r="E8" s="40" t="inlineStr">
        <is>
          <t>1. Tài xế nhấn nút 'Bắt đầu chuyến đi' (Start Trip)</t>
        </is>
      </c>
      <c r="F8" s="40" t="inlineStr">
        <is>
          <t>Mã chuyến: TRIP101
Trạng thái mới: InProgress</t>
        </is>
      </c>
      <c r="G8" s="40" t="inlineStr">
        <is>
          <t>Hệ thống chuyển trạng thái sang 'InProgress' (Đang di chuyển); đồng hồ tính quãng đường/thời gian thực bắt đầu kích hoạt; khách hàng theo dõi trực tiếp đường đi trên bản đồ (FR06.2)</t>
        </is>
      </c>
      <c r="H8" s="42" t="inlineStr">
        <is>
          <t>High</t>
        </is>
      </c>
    </row>
    <row r="9" ht="38" customHeight="1">
      <c r="A9" s="41" t="inlineStr">
        <is>
          <t>TC-TRIP-005</t>
        </is>
      </c>
      <c r="B9" s="38" t="inlineStr">
        <is>
          <t>Vòng đời chuyến đi</t>
        </is>
      </c>
      <c r="C9" s="38" t="inlineStr">
        <is>
          <t>Tài xế hoàn thành chuyến xe tại điểm đến (InProgress -&gt; Completed)</t>
        </is>
      </c>
      <c r="D9" s="38" t="inlineStr">
        <is>
          <t>Tài xế đã đưa khách đến đúng điểm trả khách</t>
        </is>
      </c>
      <c r="E9" s="38" t="inlineStr">
        <is>
          <t>1. Xe dừng tại điểm đến
2. Tài xế nhấn nút 'Hoàn thành chuyến đi' (Complete Trip)</t>
        </is>
      </c>
      <c r="F9" s="38" t="inlineStr">
        <is>
          <t>Mã chuyến: TRIP101
Trạng thái mới: Completed</t>
        </is>
      </c>
      <c r="G9" s="38" t="inlineStr">
        <is>
          <t>Hệ thống cập nhật trạng thái sang 'Completed'; kích hoạt quy trình Tính cước (UC06) và chuyển sang màn hình Thanh toán (UC07)</t>
        </is>
      </c>
      <c r="H9" s="42" t="inlineStr">
        <is>
          <t>High</t>
        </is>
      </c>
    </row>
    <row r="10" ht="54" customHeight="1">
      <c r="A10" s="43" t="inlineStr">
        <is>
          <t>TC-TRIP-006</t>
        </is>
      </c>
      <c r="B10" s="40" t="inlineStr">
        <is>
          <t>Kiểm tra tính toàn vẹn trạng thái</t>
        </is>
      </c>
      <c r="C10" s="40" t="inlineStr">
        <is>
          <t>Ngăn chặn cập nhật nhảy cóc trạng thái (State Diagram Validation)</t>
        </is>
      </c>
      <c r="D10" s="40" t="inlineStr">
        <is>
          <t>Chuyến đi đang ở trạng thái 'Assigned'</t>
        </is>
      </c>
      <c r="E10" s="40" t="inlineStr">
        <is>
          <t>1. Gửi request API cố tình cập nhật thẳng từ 'Assigned' lên 'Completed' (bỏ qua Arrived, InProgress)</t>
        </is>
      </c>
      <c r="F10" s="40" t="inlineStr">
        <is>
          <t>Mã chuyến: TRIP101
Trạng thái hiện tại: Assigned
Trạng thái gửi lên: Completed</t>
        </is>
      </c>
      <c r="G10" s="40" t="inlineStr">
        <is>
          <t>Hệ thống từ chối cập nhật; trả về mã lỗi 400 Bad Request 'Trạng thái chuyển đổi không hợp lệ' theo đúng quy tắc BR-10</t>
        </is>
      </c>
      <c r="H10" s="42" t="inlineStr">
        <is>
          <t>High</t>
        </is>
      </c>
    </row>
    <row r="11" ht="54" customHeight="1">
      <c r="A11" s="41" t="inlineStr">
        <is>
          <t>TC-TRIP-007</t>
        </is>
      </c>
      <c r="B11" s="38" t="inlineStr">
        <is>
          <t>Hủy chuyến sau khi phân công</t>
        </is>
      </c>
      <c r="C11" s="38" t="inlineStr">
        <is>
          <t>Khách hàng hủy chuyến sau khi tài xế đã nhận chuyến (Assigned)</t>
        </is>
      </c>
      <c r="D11" s="38" t="inlineStr">
        <is>
          <t>Tài xế đang di chuyển đến đón khách (Assigned hoặc Arriving)</t>
        </is>
      </c>
      <c r="E11" s="38" t="inlineStr">
        <is>
          <t>1. Khách hàng nhấn 'Hủy chuyến'
2. Nhập lý do hủy
3. Xác nhận hủy</t>
        </is>
      </c>
      <c r="F11" s="38" t="inlineStr">
        <is>
          <t>Mã chuyến: TRIP102
Lý do: 'Tôi có việc đột xuất'</t>
        </is>
      </c>
      <c r="G11" s="38" t="inlineStr">
        <is>
          <t>Hệ thống chuyển trạng thái chuyến sang 'Cancelled'; gửi thông báo hủy cho tài xế; chuyển trạng thái tài xế về 'Available' để nhận cuốc khác</t>
        </is>
      </c>
      <c r="H11" s="42" t="inlineStr">
        <is>
          <t>High</t>
        </is>
      </c>
    </row>
    <row r="12" ht="54" customHeight="1">
      <c r="A12" s="43" t="inlineStr">
        <is>
          <t>TC-TRIP-008</t>
        </is>
      </c>
      <c r="B12" s="40" t="inlineStr">
        <is>
          <t>Hủy chuyến bởi Tài xế</t>
        </is>
      </c>
      <c r="C12" s="40" t="inlineStr">
        <is>
          <t>Tài xế hủy chuyến sau khi chờ khách quá 10 phút tại điểm đón</t>
        </is>
      </c>
      <c r="D12" s="40" t="inlineStr">
        <is>
          <t>Chuyến đang ở trạng thái 'Arrived', tài xế đã đợi tại điểm đón quá 10 phút và không liên lạc được với khách</t>
        </is>
      </c>
      <c r="E12" s="40" t="inlineStr">
        <is>
          <t>1. Tài xế chọn 'Hủy chuyến'
2. Chọn lý do: 'Không liên lạc được với hành khách'
3. Xác nhận hủy</t>
        </is>
      </c>
      <c r="F12" s="40" t="inlineStr">
        <is>
          <t>Mã chuyến: TRIP103
Thời gian đợi: 12 phút</t>
        </is>
      </c>
      <c r="G12" s="40" t="inlineStr">
        <is>
          <t>Hệ thống ghi nhận hủy chuyến hợp lệ; lưu lý do vào hệ thống phục vụ CSKH; tài xế quay lại trạng thái Available</t>
        </is>
      </c>
      <c r="H12" s="44" t="inlineStr">
        <is>
          <t>Medium</t>
        </is>
      </c>
    </row>
    <row r="13" ht="38" customHeight="1">
      <c r="A13" s="41" t="inlineStr">
        <is>
          <t>TC-TRIP-009</t>
        </is>
      </c>
      <c r="B13" s="38" t="inlineStr">
        <is>
          <t>Theo dõi chuyến đi thời gian thực</t>
        </is>
      </c>
      <c r="C13" s="38" t="inlineStr">
        <is>
          <t>Khách hàng xem vị trí xe tài xế di chuyển trên bản đồ liên tục</t>
        </is>
      </c>
      <c r="D13" s="38" t="inlineStr">
        <is>
          <t>Chuyến đi đang ở trạng thái Arriving hoặc InProgress</t>
        </is>
      </c>
      <c r="E13" s="38" t="inlineStr">
        <is>
          <t>1. Khách hàng mở ứng dụng quan sát bản đồ</t>
        </is>
      </c>
      <c r="F13" s="38" t="inlineStr">
        <is>
          <t>GPS tọa độ xe được update mỗi 5-10s</t>
        </is>
      </c>
      <c r="G13" s="38" t="inlineStr">
        <is>
          <t>Biểu tượng xe của tài xế di chuyển mượt mà trên bản đồ theo đúng cung đường thực tế</t>
        </is>
      </c>
      <c r="H13" s="44" t="inlineStr">
        <is>
          <t>Medium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showGridLines="1" workbookViewId="0">
      <pane ySplit="4" topLeftCell="A5" activePane="bottomLeft" state="frozen"/>
      <selection pane="bottomLeft" activeCell="A1" sqref="A1"/>
    </sheetView>
  </sheetViews>
  <sheetFormatPr baseColWidth="8" defaultRowHeight="15"/>
  <cols>
    <col width="15" customWidth="1" min="1" max="1"/>
    <col width="22" customWidth="1" min="2" max="2"/>
    <col width="28" customWidth="1" min="3" max="3"/>
    <col width="25" customWidth="1" min="4" max="4"/>
    <col width="36" customWidth="1" min="5" max="5"/>
    <col width="26" customWidth="1" min="6" max="6"/>
    <col width="38" customWidth="1" min="7" max="7"/>
    <col width="12" customWidth="1" min="8" max="8"/>
  </cols>
  <sheetData>
    <row r="1">
      <c r="A1" s="36" t="inlineStr">
        <is>
          <t>BẢNG KIỂM THỬ: 6. FARE &amp; PAYMENT</t>
        </is>
      </c>
    </row>
    <row r="2">
      <c r="A2" s="3" t="inlineStr">
        <is>
          <t>Kiểm thử Tính cước sau chuyến, Thanh toán tiền mặt, Thanh toán điện tử và Bảo mật thẻ (FR07, BR-11 đến BR-14)</t>
        </is>
      </c>
    </row>
    <row r="4" ht="28" customHeight="1">
      <c r="A4" s="8" t="inlineStr">
        <is>
          <t>Test Case ID</t>
        </is>
      </c>
      <c r="B4" s="8" t="inlineStr">
        <is>
          <t>Test Scenario</t>
        </is>
      </c>
      <c r="C4" s="8" t="inlineStr">
        <is>
          <t>Test Case</t>
        </is>
      </c>
      <c r="D4" s="8" t="inlineStr">
        <is>
          <t>Preconditions</t>
        </is>
      </c>
      <c r="E4" s="8" t="inlineStr">
        <is>
          <t>Test Steps</t>
        </is>
      </c>
      <c r="F4" s="8" t="inlineStr">
        <is>
          <t>Test Data</t>
        </is>
      </c>
      <c r="G4" s="8" t="inlineStr">
        <is>
          <t>Expected Result</t>
        </is>
      </c>
      <c r="H4" s="8" t="inlineStr">
        <is>
          <t>Priority</t>
        </is>
      </c>
    </row>
    <row r="5" ht="72" customHeight="1">
      <c r="A5" s="41" t="inlineStr">
        <is>
          <t>TC-PAY-001</t>
        </is>
      </c>
      <c r="B5" s="38" t="inlineStr">
        <is>
          <t>Tính cước chuyến đi</t>
        </is>
      </c>
      <c r="C5" s="38" t="inlineStr">
        <is>
          <t>Hệ thống tự động tính cước chính xác khi chuyến hoàn thành</t>
        </is>
      </c>
      <c r="D5" s="38" t="inlineStr">
        <is>
          <t>Chuyến đi xe 4 chỗ vừa hoàn thành; quãng đường thực tế 10km, thời gian di chuyển 25 phút</t>
        </is>
      </c>
      <c r="E5" s="38" t="inlineStr">
        <is>
          <t>1. Tài xế nhấn 'Hoàn thành chuyến đi'
2. Hệ thống kích hoạt module tính cước tự động (FR07.1, BR-11)</t>
        </is>
      </c>
      <c r="F5" s="38" t="inlineStr">
        <is>
          <t>Loại xe: Car_4S
Quãng đường: 10.0 km
Thời gian: 25 phút
Đơn giá: Cước mở cửa 12.000đ + 13.000đ/km tiếp theo</t>
        </is>
      </c>
      <c r="G5" s="38" t="inlineStr">
        <is>
          <t>Hệ thống tính đúng số tiền cước (ví dụ: 129.000đ); lưu vào bảng chuyến đi; hiển thị hóa đơn chi tiết cho tài xế và khách</t>
        </is>
      </c>
      <c r="H5" s="42" t="inlineStr">
        <is>
          <t>High</t>
        </is>
      </c>
    </row>
    <row r="6" ht="54" customHeight="1">
      <c r="A6" s="43" t="inlineStr">
        <is>
          <t>TC-PAY-002</t>
        </is>
      </c>
      <c r="B6" s="40" t="inlineStr">
        <is>
          <t>Thanh toán bằng Tiền mặt</t>
        </is>
      </c>
      <c r="C6" s="40" t="inlineStr">
        <is>
          <t>Thực hiện thanh toán tiền mặt thành công (Cash)</t>
        </is>
      </c>
      <c r="D6" s="40" t="inlineStr">
        <is>
          <t>Chuyến đi đã hoàn thành; khách hàng chọn phương thức 'Tiền mặt' lúc đặt xe</t>
        </is>
      </c>
      <c r="E6" s="40" t="inlineStr">
        <is>
          <t>1. Màn hình tài xế hiển thị số tiền mặt cần thu từ khách
2. Khách đưa tiền mặt cho tài xế
3. Tài xế nhấn nút 'Đã thu đủ tiền mặt' (Confirm Cash Collected)</t>
        </is>
      </c>
      <c r="F6" s="40" t="inlineStr">
        <is>
          <t>Mã chuyến: TRIP201
Số tiền: 129.000đ
Phương thức: Cash</t>
        </is>
      </c>
      <c r="G6" s="40" t="inlineStr">
        <is>
          <t>Hệ thống cập nhật trạng thái thanh toán = 'Paid_Cash'; trạng thái chuyến = 'Finished'; lưu giao dịch vào lịch sử (BR-12)</t>
        </is>
      </c>
      <c r="H6" s="42" t="inlineStr">
        <is>
          <t>High</t>
        </is>
      </c>
    </row>
    <row r="7" ht="54" customHeight="1">
      <c r="A7" s="41" t="inlineStr">
        <is>
          <t>TC-PAY-003</t>
        </is>
      </c>
      <c r="B7" s="38" t="inlineStr">
        <is>
          <t>Thanh toán Điện tử</t>
        </is>
      </c>
      <c r="C7" s="38" t="inlineStr">
        <is>
          <t>Thanh toán thành công qua Cổng thanh toán (Payment Provider)</t>
        </is>
      </c>
      <c r="D7" s="38" t="inlineStr">
        <is>
          <t>Khách hàng đã liên kết thẻ tín dụng/ví điện tử hợp lệ và có đủ số dư</t>
        </is>
      </c>
      <c r="E7" s="38" t="inlineStr">
        <is>
          <t>1. Chuyến hoàn thành
2. Hệ thống gửi yêu cầu trừ tiền đến Payment Provider (FR07.3)
3. Cổng thanh toán xử lý và trả kết quả thành công</t>
        </is>
      </c>
      <c r="F7" s="38" t="inlineStr">
        <is>
          <t>Mã chuyến: TRIP202
Số tiền: 150.000đ
Phương thức: E-Wallet/Credit Card</t>
        </is>
      </c>
      <c r="G7" s="38" t="inlineStr">
        <is>
          <t>Payment Provider trả mã giao dịch thành công (Transaction_ID); hệ thống cập nhật 'Payment_Success'; gửi hóa đơn điện tử cho khách hàng</t>
        </is>
      </c>
      <c r="H7" s="42" t="inlineStr">
        <is>
          <t>High</t>
        </is>
      </c>
    </row>
    <row r="8" ht="54" customHeight="1">
      <c r="A8" s="43" t="inlineStr">
        <is>
          <t>TC-PAY-004</t>
        </is>
      </c>
      <c r="B8" s="40" t="inlineStr">
        <is>
          <t>Xử lý Thanh toán Điện tử thất bại</t>
        </is>
      </c>
      <c r="C8" s="40" t="inlineStr">
        <is>
          <t>Tài khoản khách không đủ số dư / Thẻ hết hạn</t>
        </is>
      </c>
      <c r="D8" s="40" t="inlineStr">
        <is>
          <t>Chuyến đi hoàn thành; số dư ví điện tử của khách nhỏ hơn tiền cước</t>
        </is>
      </c>
      <c r="E8" s="40" t="inlineStr">
        <is>
          <t>1. Hệ thống gửi request thanh toán sang Payment Provider
2. Provider trả về lỗi 'Insufficient Balance' (BR-14, FR07.4)</t>
        </is>
      </c>
      <c r="F8" s="40" t="inlineStr">
        <is>
          <t>Mã chuyến: TRIP203
Số tiền: 200.000đ
Số dư ví: 50.000đ</t>
        </is>
      </c>
      <c r="G8" s="40" t="inlineStr">
        <is>
          <t>Hệ thống cập nhật 'Payment_Failed'; hiển thị thông báo lỗi cho khách; cho phép khách thử lại thẻ khác hoặc chuyển sang thanh toán Tiền mặt</t>
        </is>
      </c>
      <c r="H8" s="42" t="inlineStr">
        <is>
          <t>High</t>
        </is>
      </c>
    </row>
    <row r="9" ht="38" customHeight="1">
      <c r="A9" s="41" t="inlineStr">
        <is>
          <t>TC-PAY-005</t>
        </is>
      </c>
      <c r="B9" s="38" t="inlineStr">
        <is>
          <t>Xử lý Timeout / Mất kết nối Cổng thanh toán</t>
        </is>
      </c>
      <c r="C9" s="38" t="inlineStr">
        <is>
          <t>Payment Provider không phản hồi sau 30 giây</t>
        </is>
      </c>
      <c r="D9" s="38" t="inlineStr">
        <is>
          <t>Chuyến đi hoàn thành; cổng thanh toán gặp sự cố kỹ thuật hoặc timeout</t>
        </is>
      </c>
      <c r="E9" s="38" t="inlineStr">
        <is>
          <t>1. Hệ thống gửi lệnh trừ tiền sang Payment Gateway
2. Đợi quá 30 giây không nhận được callback response</t>
        </is>
      </c>
      <c r="F9" s="38" t="inlineStr">
        <is>
          <t>Timeout: 30s
Gateway Status: No Response</t>
        </is>
      </c>
      <c r="G9" s="38" t="inlineStr">
        <is>
          <t>Hệ thống không đánh dấu thanh toán thất bại vội; chuyển trạng thái giao dịch sang 'Pending_Verification'; không trừ tiền 2 lần; kích hoạt cơ chế kiểm tra lại đối soát (BR-20, BR-29)</t>
        </is>
      </c>
      <c r="H9" s="42" t="inlineStr">
        <is>
          <t>High</t>
        </is>
      </c>
    </row>
    <row r="10" ht="38" customHeight="1">
      <c r="A10" s="43" t="inlineStr">
        <is>
          <t>TC-PAY-006</t>
        </is>
      </c>
      <c r="B10" s="40" t="inlineStr">
        <is>
          <t>Bảo mật dữ liệu thanh toán</t>
        </is>
      </c>
      <c r="C10" s="40" t="inlineStr">
        <is>
          <t>Tuân thủ BR-13: Không lưu trực tiếp CVV/Số thẻ đầy đủ</t>
        </is>
      </c>
      <c r="D10" s="40" t="inlineStr">
        <is>
          <t>Khách hàng nhập thông tin thẻ thanh toán quốc tế (Visa/Mastercard)</t>
        </is>
      </c>
      <c r="E10" s="40" t="inlineStr">
        <is>
          <t>1. Nhập số thẻ, ngày hết hạn, mã CVV
2. Kiểm tra dữ liệu được lưu trong CSDL của CAB System</t>
        </is>
      </c>
      <c r="F10" s="40" t="inlineStr">
        <is>
          <t>Số thẻ: 4111 1111 1111 1234
CVV: 999</t>
        </is>
      </c>
      <c r="G10" s="40" t="inlineStr">
        <is>
          <t>CSDL hệ thống chỉ lưu Token được mã hóa từ Payment Gateway và 4 số cuối (Masked: ****1234); tuyệt đối không lưu mã bí mật CVV/CVC theo chuẩn bảo mật PCI-DSS</t>
        </is>
      </c>
      <c r="H10" s="42" t="inlineStr">
        <is>
          <t>High</t>
        </is>
      </c>
    </row>
    <row r="11" ht="38" customHeight="1">
      <c r="A11" s="41" t="inlineStr">
        <is>
          <t>TC-PAY-007</t>
        </is>
      </c>
      <c r="B11" s="38" t="inlineStr">
        <is>
          <t>Xem lịch sử chuyến và tiền cước</t>
        </is>
      </c>
      <c r="C11" s="38" t="inlineStr">
        <is>
          <t>Khách hàng tra cứu lịch sử các chuyến đã thanh toán</t>
        </is>
      </c>
      <c r="D11" s="38" t="inlineStr">
        <is>
          <t>Khách hàng đã hoàn thành và thanh toán nhiều chuyến đi trước đó</t>
        </is>
      </c>
      <c r="E11" s="38" t="inlineStr">
        <is>
          <t>1. Vào mục 'Lịch sử chuyến đi'
2. Chọn xem chi tiết một chuyến đi cụ thể</t>
        </is>
      </c>
      <c r="F11" s="38" t="inlineStr">
        <is>
          <t>Chuyến: TRIP201</t>
        </is>
      </c>
      <c r="G11" s="38" t="inlineStr">
        <is>
          <t>Hiển thị đầy đủ thông tin: ngày giờ, lộ trình từ - đến, tên tài xế, biển số, chi tiết giá cước và phương thức thanh toán đã dùng (FR02.2)</t>
        </is>
      </c>
      <c r="H11" s="44" t="inlineStr">
        <is>
          <t>Medium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showGridLines="1" workbookViewId="0">
      <pane ySplit="4" topLeftCell="A5" activePane="bottomLeft" state="frozen"/>
      <selection pane="bottomLeft" activeCell="A1" sqref="A1"/>
    </sheetView>
  </sheetViews>
  <sheetFormatPr baseColWidth="8" defaultRowHeight="15"/>
  <cols>
    <col width="15" customWidth="1" min="1" max="1"/>
    <col width="22" customWidth="1" min="2" max="2"/>
    <col width="28" customWidth="1" min="3" max="3"/>
    <col width="25" customWidth="1" min="4" max="4"/>
    <col width="36" customWidth="1" min="5" max="5"/>
    <col width="26" customWidth="1" min="6" max="6"/>
    <col width="38" customWidth="1" min="7" max="7"/>
    <col width="12" customWidth="1" min="8" max="8"/>
  </cols>
  <sheetData>
    <row r="1">
      <c r="A1" s="36" t="inlineStr">
        <is>
          <t>BẢNG KIỂM THỬ: 7. OPERATIONS &amp; SECURITY</t>
        </is>
      </c>
    </row>
    <row r="2">
      <c r="A2" s="3" t="inlineStr">
        <is>
          <t>Kiểm thử Đánh giá, Thông báo, Giám sát vận hành, Xử lý sự cố, Báo cáo và Audit Log (FR08, FR09, FR10, FR11, FR12)</t>
        </is>
      </c>
    </row>
    <row r="4" ht="28" customHeight="1">
      <c r="A4" s="8" t="inlineStr">
        <is>
          <t>Test Case ID</t>
        </is>
      </c>
      <c r="B4" s="8" t="inlineStr">
        <is>
          <t>Test Scenario</t>
        </is>
      </c>
      <c r="C4" s="8" t="inlineStr">
        <is>
          <t>Test Case</t>
        </is>
      </c>
      <c r="D4" s="8" t="inlineStr">
        <is>
          <t>Preconditions</t>
        </is>
      </c>
      <c r="E4" s="8" t="inlineStr">
        <is>
          <t>Test Steps</t>
        </is>
      </c>
      <c r="F4" s="8" t="inlineStr">
        <is>
          <t>Test Data</t>
        </is>
      </c>
      <c r="G4" s="8" t="inlineStr">
        <is>
          <t>Expected Result</t>
        </is>
      </c>
      <c r="H4" s="8" t="inlineStr">
        <is>
          <t>Priority</t>
        </is>
      </c>
    </row>
    <row r="5" ht="72" customHeight="1">
      <c r="A5" s="41" t="inlineStr">
        <is>
          <t>TC-OPS-001</t>
        </is>
      </c>
      <c r="B5" s="38" t="inlineStr">
        <is>
          <t>Đánh giá chất lượng dịch vụ</t>
        </is>
      </c>
      <c r="C5" s="38" t="inlineStr">
        <is>
          <t>Khách hàng đánh giá sao và gửi nhận xét tài xế sau chuyến đi</t>
        </is>
      </c>
      <c r="D5" s="38" t="inlineStr">
        <is>
          <t>Chuyến đi đã hoàn thành và thanh toán thành công (FR09.1, BR-16)</t>
        </is>
      </c>
      <c r="E5" s="38" t="inlineStr">
        <is>
          <t>1. Màn hình đánh giá hiển thị sau thanh toán
2. Khách chọn số sao (1-5 sao)
3. Chọn các tag (Tài xế thân thiện, xe sạch sẽ)
4. Nhấn 'Gửi đánh giá'</t>
        </is>
      </c>
      <c r="F5" s="38" t="inlineStr">
        <is>
          <t>Mã chuyến: TRIP301
Đánh giá: 5 sao
Nhận xét: 'Tài xế lịch sự, lái xe cẩn thận'</t>
        </is>
      </c>
      <c r="G5" s="38" t="inlineStr">
        <is>
          <t>Đánh giá được lưu vào CSDL; cập nhật điểm rating trung bình của tài xế; không cho phép đánh giá lại cùng 1 chuyến</t>
        </is>
      </c>
      <c r="H5" s="44" t="inlineStr">
        <is>
          <t>Medium</t>
        </is>
      </c>
    </row>
    <row r="6" ht="38" customHeight="1">
      <c r="A6" s="43" t="inlineStr">
        <is>
          <t>TC-OPS-002</t>
        </is>
      </c>
      <c r="B6" s="40" t="inlineStr">
        <is>
          <t>Đánh giá chất lượng dịch vụ</t>
        </is>
      </c>
      <c r="C6" s="40" t="inlineStr">
        <is>
          <t>Khách hàng bỏ qua đánh giá tài xế</t>
        </is>
      </c>
      <c r="D6" s="40" t="inlineStr">
        <is>
          <t>Màn hình đánh giá hiển thị sau chuyến đi</t>
        </is>
      </c>
      <c r="E6" s="40" t="inlineStr">
        <is>
          <t>1. Khách hàng nhấn nút 'Bỏ qua' hoặc icon dấu X góc trên</t>
        </is>
      </c>
      <c r="F6" s="40" t="inlineStr">
        <is>
          <t>Hành động: Bỏ qua</t>
        </is>
      </c>
      <c r="G6" s="40" t="inlineStr">
        <is>
          <t>Ứng dụng đóng màn hình đánh giá và quay về màn hình chính bình thường mà không báo lỗi</t>
        </is>
      </c>
      <c r="H6" s="45" t="inlineStr">
        <is>
          <t>Low</t>
        </is>
      </c>
    </row>
    <row r="7" ht="38" customHeight="1">
      <c r="A7" s="41" t="inlineStr">
        <is>
          <t>TC-OPS-003</t>
        </is>
      </c>
      <c r="B7" s="38" t="inlineStr">
        <is>
          <t>Hệ thống Thông báo</t>
        </is>
      </c>
      <c r="C7" s="38" t="inlineStr">
        <is>
          <t>Gửi Push Notification theo thời gian thực cho các sự kiện chuyến đi</t>
        </is>
      </c>
      <c r="D7" s="38" t="inlineStr">
        <is>
          <t>Hệ thống tích hợp Notification Provider (FR08)</t>
        </is>
      </c>
      <c r="E7" s="38" t="inlineStr">
        <is>
          <t>1. Khách đặt xe -&gt; Tài xế nhận cuốc -&gt; Tài xế đến điểm đón -&gt; Chuyến hoàn thành</t>
        </is>
      </c>
      <c r="F7" s="38" t="inlineStr">
        <is>
          <t>Sự kiện: Driver Assigned, Arrived, Finished</t>
        </is>
      </c>
      <c r="G7" s="38" t="inlineStr">
        <is>
          <t>Khách hàng và tài xế nhận đúng các tin nhắn thông báo đẩy (Push notification) tương ứng trên thanh thông báo thiết bị</t>
        </is>
      </c>
      <c r="H7" s="42" t="inlineStr">
        <is>
          <t>High</t>
        </is>
      </c>
    </row>
    <row r="8" ht="38" customHeight="1">
      <c r="A8" s="43" t="inlineStr">
        <is>
          <t>TC-OPS-004</t>
        </is>
      </c>
      <c r="B8" s="40" t="inlineStr">
        <is>
          <t>Giám sát vận hành</t>
        </is>
      </c>
      <c r="C8" s="40" t="inlineStr">
        <is>
          <t>Nhân viên vận hành (Operations Staff) xem danh sách các chuyến đang diễn ra</t>
        </is>
      </c>
      <c r="D8" s="40" t="inlineStr">
        <is>
          <t>Nhân viên vận hành đăng nhập vào trang Quản trị (FR10.4)</t>
        </is>
      </c>
      <c r="E8" s="40" t="inlineStr">
        <is>
          <t>1. Truy cập menu 'Giám sát chuyến đi' (Active Trips)
2. Kiểm tra danh sách hiển thị</t>
        </is>
      </c>
      <c r="F8" s="40" t="inlineStr">
        <is>
          <t>Tài khoản: operator01 (Role: Operations_Staff)</t>
        </is>
      </c>
      <c r="G8" s="40" t="inlineStr">
        <is>
          <t>Hiển thị đầy đủ danh sách các chuyến đang ở trạng thái Searching, Assigned, Arrived, InProgress kèm mã chuyến, tên khách, tên tài xế, vị trí</t>
        </is>
      </c>
      <c r="H8" s="42" t="inlineStr">
        <is>
          <t>High</t>
        </is>
      </c>
    </row>
    <row r="9" ht="72" customHeight="1">
      <c r="A9" s="41" t="inlineStr">
        <is>
          <t>TC-OPS-005</t>
        </is>
      </c>
      <c r="B9" s="38" t="inlineStr">
        <is>
          <t>Xử lý sự cố vận hành</t>
        </is>
      </c>
      <c r="C9" s="38" t="inlineStr">
        <is>
          <t>Nhân viên vận hành hỗ trợ hủy cuốc xe gặp sự cố đặc biệt</t>
        </is>
      </c>
      <c r="D9" s="38" t="inlineStr">
        <is>
          <t>Có chuyến đi bị treo trạng thái do tài xế hỏng xe đột xuất trên đường (FR10.5)</t>
        </is>
      </c>
      <c r="E9" s="38" t="inlineStr">
        <is>
          <t>1. Nhân viên vận hành mở chi tiết chuyến đi bị lỗi
2. Chọn chức năng 'Hỗ trợ hủy chuyến khẩn cấp'
3. Nhập lý do xử lý sự cố
4. Xác nhận</t>
        </is>
      </c>
      <c r="F9" s="38" t="inlineStr">
        <is>
          <t>Mã chuyến: TRIP999
Lý do: 'Tài xế gặp tai nạn hỏng xe giữa đường'</t>
        </is>
      </c>
      <c r="G9" s="38" t="inlineStr">
        <is>
          <t>Hệ thống cập nhật trạng thái chuyến sang Cancelled_By_Operator; giải phóng tài khoản khách để đặt lại xe; lưu vết người thực hiện vào Audit Log</t>
        </is>
      </c>
      <c r="H9" s="42" t="inlineStr">
        <is>
          <t>High</t>
        </is>
      </c>
    </row>
    <row r="10" ht="54" customHeight="1">
      <c r="A10" s="43" t="inlineStr">
        <is>
          <t>TC-OPS-006</t>
        </is>
      </c>
      <c r="B10" s="40" t="inlineStr">
        <is>
          <t>Quản lý hồ sơ tài xế &amp; xe</t>
        </is>
      </c>
      <c r="C10" s="40" t="inlineStr">
        <is>
          <t>Nhân viên vận hành duyệt hồ sơ đăng ký phương tiện của tài xế</t>
        </is>
      </c>
      <c r="D10" s="40" t="inlineStr">
        <is>
          <t>Tài xế DRV005 có phương tiện đang ở trạng thái 'Pending_Approval'</t>
        </is>
      </c>
      <c r="E10" s="40" t="inlineStr">
        <is>
          <t>1. Nhân viên vận hành vào menu 'Duyệt phương tiện'
2. Kiểm tra ảnh giấy tờ đăng ký, đăng kiểm
3. Nhấn 'Phê duyệt'</t>
        </is>
      </c>
      <c r="F10" s="40" t="inlineStr">
        <is>
          <t>Tài xế: DRV005
Biển số: 51H-987.65</t>
        </is>
      </c>
      <c r="G10" s="40" t="inlineStr">
        <is>
          <t>Phương tiện chuyển trạng thái sang 'Approved'; tài xế DRV005 được phép kích hoạt trạng thái Online để nhận chuyến</t>
        </is>
      </c>
      <c r="H10" s="42" t="inlineStr">
        <is>
          <t>High</t>
        </is>
      </c>
    </row>
    <row r="11" ht="38" customHeight="1">
      <c r="A11" s="41" t="inlineStr">
        <is>
          <t>TC-OPS-007</t>
        </is>
      </c>
      <c r="B11" s="38" t="inlineStr">
        <is>
          <t>Phân quyền người dùng (RBAC)</t>
        </is>
      </c>
      <c r="C11" s="38" t="inlineStr">
        <is>
          <t>Kiểm soát phân quyền chặt chẽ giữa Khách hàng, Tài xế, Operator, Admin</t>
        </is>
      </c>
      <c r="D11" s="38" t="inlineStr">
        <is>
          <t>Hệ thống có 4 vai trò người dùng (FR12.1, BR-02)</t>
        </is>
      </c>
      <c r="E11" s="38" t="inlineStr">
        <is>
          <t>1. Đăng nhập tài khoản Customer -&gt; Cố gắng truy cập URL /admin/dashboard
2. Đăng nhập Operator -&gt; Cố gắng truy cập chức năng cấu hình hệ thống /admin/settings</t>
        </is>
      </c>
      <c r="F11" s="38" t="inlineStr">
        <is>
          <t>Role: Customer vs Operations_Staff vs Admin</t>
        </is>
      </c>
      <c r="G11" s="38" t="inlineStr">
        <is>
          <t>Hệ thống từ chối truy cập và trả về lỗi HTTP 403 Forbidden; người dùng chỉ được thực hiện các chức năng đúng thẩm quyền</t>
        </is>
      </c>
      <c r="H11" s="42" t="inlineStr">
        <is>
          <t>High</t>
        </is>
      </c>
    </row>
    <row r="12" ht="38" customHeight="1">
      <c r="A12" s="43" t="inlineStr">
        <is>
          <t>TC-OPS-008</t>
        </is>
      </c>
      <c r="B12" s="40" t="inlineStr">
        <is>
          <t>Nhật ký hệ thống (Audit Log)</t>
        </is>
      </c>
      <c r="C12" s="40" t="inlineStr">
        <is>
          <t>Lưu vết tự động các thao tác quản trị và thay đổi quan trọng</t>
        </is>
      </c>
      <c r="D12" s="40" t="inlineStr">
        <is>
          <t>Nhân viên vận hành thực hiện thao tác nhạy cảm (khóa tài khoản, hủy cuốc, sửa cước)</t>
        </is>
      </c>
      <c r="E12" s="40" t="inlineStr">
        <is>
          <t>1. Operator thực hiện khóa tài khoản tài xế vi phạm
2. Kiểm tra bảng dữ liệu Audit Log (FR12.3, BR-19)</t>
        </is>
      </c>
      <c r="F12" s="40" t="inlineStr">
        <is>
          <t>Thao tác: Lock_User
User bị khóa: DRV002</t>
        </is>
      </c>
      <c r="G12" s="40" t="inlineStr">
        <is>
          <t>Hệ thống ghi nhận đầy đủ bản ghi: Mã nhân viên thực hiện, thời gian (timestamp), IP, hành động, dữ liệu trước và sau khi thay đổi</t>
        </is>
      </c>
      <c r="H12" s="42" t="inlineStr">
        <is>
          <t>High</t>
        </is>
      </c>
    </row>
    <row r="13" ht="54" customHeight="1">
      <c r="A13" s="41" t="inlineStr">
        <is>
          <t>TC-OPS-009</t>
        </is>
      </c>
      <c r="B13" s="38" t="inlineStr">
        <is>
          <t>Báo cáo quản trị cơ bản</t>
        </is>
      </c>
      <c r="C13" s="38" t="inlineStr">
        <is>
          <t>Xem báo cáo tổng hợp số chuyến đi, doanh thu và tỷ lệ hoàn thành</t>
        </is>
      </c>
      <c r="D13" s="38" t="inlineStr">
        <is>
          <t>Nhân viên vận hành hoặc Quản trị viên truy cập mục Báo cáo (FR11, BR-11)</t>
        </is>
      </c>
      <c r="E13" s="38" t="inlineStr">
        <is>
          <t>1. Vào menu 'Báo cáo hoạt động'
2. Chọn khoảng thời gian: 'Hôm nay' hoặc 'Tuần này'
3. Nhấn 'Xem báo cáo'</t>
        </is>
      </c>
      <c r="F13" s="38" t="inlineStr">
        <is>
          <t>Khoảng thời gian: 7 ngày gần nhất</t>
        </is>
      </c>
      <c r="G13" s="38" t="inlineStr">
        <is>
          <t>Hệ thống hiển thị chính xác các chỉ số: Tổng số chuyến tạo, số chuyến hoàn thành, số chuyến hủy, tổng doanh thu và tỷ lệ hoàn thành</t>
        </is>
      </c>
      <c r="H13" s="44" t="inlineStr">
        <is>
          <t>Medium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2026-09-14T12:18:11Z</dcterms:created>
  <dcterms:modified xmlns:dcterms="http://purl.org/dc/terms/" xmlns:xsi="http://www.w3.org/2001/XMLSchema-instance" xsi:type="dcterms:W3CDTF">2026-09-14T12:18:55Z</dcterms:modified>
</cp:coreProperties>
</file>